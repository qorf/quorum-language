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645" yWindow="600" windowWidth="29580" windowHeight="16440"/>
  </bookViews>
  <sheets>
    <sheet name="Quorum 3.0" sheetId="1" r:id="rId1"/>
    <sheet name="tests.txt" sheetId="3" r:id="rId2"/>
  </sheet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3" l="1"/>
  <c r="D3" i="3"/>
  <c r="C4" i="3"/>
  <c r="D4" i="3"/>
  <c r="C5" i="3"/>
  <c r="D5" i="3"/>
  <c r="C6" i="3"/>
  <c r="D6" i="3"/>
  <c r="C7" i="3"/>
  <c r="D7" i="3"/>
  <c r="C8" i="3"/>
  <c r="D8" i="3"/>
  <c r="C9" i="3"/>
  <c r="D9" i="3"/>
  <c r="C10" i="3"/>
  <c r="D10" i="3"/>
  <c r="C11" i="3"/>
  <c r="D11" i="3"/>
  <c r="C12" i="3"/>
  <c r="D12" i="3"/>
  <c r="C13" i="3"/>
  <c r="D13" i="3"/>
  <c r="C14" i="3"/>
  <c r="D14" i="3"/>
  <c r="C15" i="3"/>
  <c r="D15" i="3"/>
  <c r="C16" i="3"/>
  <c r="D16" i="3"/>
  <c r="C17" i="3"/>
  <c r="D17" i="3"/>
  <c r="C18" i="3"/>
  <c r="D18" i="3"/>
  <c r="C19" i="3"/>
  <c r="D19" i="3"/>
  <c r="C20" i="3"/>
  <c r="D20" i="3"/>
  <c r="C21" i="3"/>
  <c r="D21" i="3"/>
  <c r="C22" i="3"/>
  <c r="D22" i="3"/>
  <c r="C23" i="3"/>
  <c r="D23" i="3"/>
  <c r="C24" i="3"/>
  <c r="D24" i="3"/>
  <c r="C25" i="3"/>
  <c r="D25" i="3"/>
  <c r="C26" i="3"/>
  <c r="D26" i="3"/>
  <c r="C27" i="3"/>
  <c r="D27" i="3"/>
  <c r="C28" i="3"/>
  <c r="D28" i="3"/>
  <c r="C29" i="3"/>
  <c r="D29" i="3"/>
  <c r="C30" i="3"/>
  <c r="D30" i="3"/>
  <c r="C31" i="3"/>
  <c r="D31" i="3"/>
  <c r="C32" i="3"/>
  <c r="D32" i="3"/>
  <c r="C33" i="3"/>
  <c r="D33" i="3"/>
  <c r="C34" i="3"/>
  <c r="D34" i="3"/>
  <c r="C35" i="3"/>
  <c r="D35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C46" i="3"/>
  <c r="D46" i="3"/>
  <c r="C47" i="3"/>
  <c r="D47" i="3"/>
  <c r="C48" i="3"/>
  <c r="D48" i="3"/>
  <c r="C49" i="3"/>
  <c r="D49" i="3"/>
  <c r="C50" i="3"/>
  <c r="D50" i="3"/>
  <c r="C51" i="3"/>
  <c r="D51" i="3"/>
  <c r="C52" i="3"/>
  <c r="D52" i="3"/>
  <c r="C53" i="3"/>
  <c r="D53" i="3"/>
  <c r="C54" i="3"/>
  <c r="D54" i="3"/>
  <c r="C55" i="3"/>
  <c r="D55" i="3"/>
  <c r="C56" i="3"/>
  <c r="D56" i="3"/>
  <c r="C57" i="3"/>
  <c r="D57" i="3"/>
  <c r="C58" i="3"/>
  <c r="D58" i="3"/>
  <c r="C59" i="3"/>
  <c r="D59" i="3"/>
  <c r="C60" i="3"/>
  <c r="D60" i="3"/>
  <c r="C61" i="3"/>
  <c r="D61" i="3"/>
  <c r="A52" i="3"/>
  <c r="A53" i="3"/>
  <c r="A54" i="3"/>
  <c r="A55" i="3"/>
  <c r="A56" i="3"/>
  <c r="A57" i="3"/>
  <c r="A58" i="3"/>
  <c r="A59" i="3"/>
  <c r="A60" i="3"/>
  <c r="A61" i="3"/>
  <c r="B61" i="3"/>
  <c r="B60" i="3"/>
  <c r="B59" i="3"/>
  <c r="B58" i="3"/>
  <c r="B57" i="3"/>
  <c r="B56" i="3"/>
  <c r="B55" i="3"/>
  <c r="B54" i="3"/>
  <c r="B53" i="3"/>
  <c r="B52" i="3"/>
  <c r="A42" i="3"/>
  <c r="A43" i="3"/>
  <c r="A44" i="3"/>
  <c r="A45" i="3"/>
  <c r="A46" i="3"/>
  <c r="A47" i="3"/>
  <c r="A48" i="3"/>
  <c r="A49" i="3"/>
  <c r="A50" i="3"/>
  <c r="A51" i="3"/>
  <c r="B51" i="3"/>
  <c r="B50" i="3"/>
  <c r="B49" i="3"/>
  <c r="B48" i="3"/>
  <c r="B47" i="3"/>
  <c r="B46" i="3"/>
  <c r="B45" i="3"/>
  <c r="B44" i="3"/>
  <c r="B43" i="3"/>
  <c r="B42" i="3"/>
  <c r="A32" i="3"/>
  <c r="A33" i="3"/>
  <c r="A34" i="3"/>
  <c r="A35" i="3"/>
  <c r="A36" i="3"/>
  <c r="A37" i="3"/>
  <c r="A38" i="3"/>
  <c r="A39" i="3"/>
  <c r="A40" i="3"/>
  <c r="A41" i="3"/>
  <c r="A22" i="3"/>
  <c r="A23" i="3"/>
  <c r="A24" i="3"/>
  <c r="A25" i="3"/>
  <c r="A26" i="3"/>
  <c r="A27" i="3"/>
  <c r="A28" i="3"/>
  <c r="A29" i="3"/>
  <c r="A30" i="3"/>
  <c r="A31" i="3"/>
  <c r="A12" i="3"/>
  <c r="B12" i="3"/>
  <c r="A13" i="3"/>
  <c r="A14" i="3"/>
  <c r="A15" i="3"/>
  <c r="A16" i="3"/>
  <c r="A17" i="3"/>
  <c r="A18" i="3"/>
  <c r="A19" i="3"/>
  <c r="A20" i="3"/>
  <c r="A21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A2" i="3"/>
  <c r="B2" i="3"/>
  <c r="C2" i="3"/>
  <c r="D2" i="3"/>
  <c r="A73" i="1"/>
  <c r="D74" i="1"/>
  <c r="E74" i="1"/>
  <c r="F74" i="1"/>
  <c r="C74" i="1"/>
  <c r="D73" i="1"/>
  <c r="E73" i="1"/>
  <c r="F73" i="1"/>
  <c r="C73" i="1"/>
  <c r="C75" i="1"/>
  <c r="D75" i="1"/>
  <c r="E75" i="1"/>
  <c r="F75" i="1"/>
  <c r="A11" i="3"/>
  <c r="B11" i="3"/>
  <c r="A10" i="3"/>
  <c r="B10" i="3"/>
  <c r="A9" i="3"/>
  <c r="B9" i="3"/>
  <c r="A8" i="3"/>
  <c r="B8" i="3"/>
  <c r="A7" i="3"/>
  <c r="B7" i="3"/>
  <c r="A6" i="3"/>
  <c r="B6" i="3"/>
  <c r="A5" i="3"/>
  <c r="B5" i="3"/>
  <c r="A4" i="3"/>
  <c r="B4" i="3"/>
  <c r="A3" i="3"/>
  <c r="B3" i="3"/>
  <c r="B79" i="1"/>
</calcChain>
</file>

<file path=xl/sharedStrings.xml><?xml version="1.0" encoding="utf-8"?>
<sst xmlns="http://schemas.openxmlformats.org/spreadsheetml/2006/main" count="317" uniqueCount="214">
  <si>
    <t>From</t>
  </si>
  <si>
    <t>To</t>
  </si>
  <si>
    <t>boolean</t>
  </si>
  <si>
    <t>x</t>
  </si>
  <si>
    <t>integer</t>
  </si>
  <si>
    <t>number</t>
  </si>
  <si>
    <t>text</t>
  </si>
  <si>
    <t>undefined</t>
  </si>
  <si>
    <t>Object</t>
  </si>
  <si>
    <t>integer</t>
  </si>
  <si>
    <t>number</t>
  </si>
  <si>
    <t>text</t>
  </si>
  <si>
    <t>undefined</t>
  </si>
  <si>
    <t>x</t>
  </si>
  <si>
    <t>Object</t>
  </si>
  <si>
    <t>BoolObj</t>
  </si>
  <si>
    <t>IntObj</t>
  </si>
  <si>
    <t>NumObj</t>
  </si>
  <si>
    <t>TextObj</t>
  </si>
  <si>
    <t>OK?</t>
  </si>
  <si>
    <t>Pass</t>
  </si>
  <si>
    <t>Fail</t>
  </si>
  <si>
    <t xml:space="preserve">  Total</t>
  </si>
  <si>
    <t>Summary of Test Cases</t>
  </si>
  <si>
    <t>Chaining System</t>
  </si>
  <si>
    <t>ReturnVar</t>
  </si>
  <si>
    <t>ReturnObj</t>
  </si>
  <si>
    <t>ReturnObjObj</t>
  </si>
  <si>
    <t>ReturnMeVar</t>
  </si>
  <si>
    <t>ReturnMeObj</t>
  </si>
  <si>
    <t>ReturnMeObjObj</t>
  </si>
  <si>
    <t>AssignField.quorum</t>
  </si>
  <si>
    <t>Pass\ReturnVarBoolObjAssignField.quorum</t>
  </si>
  <si>
    <t>Pass\ReturnVarBooleanAssignField.quorum</t>
  </si>
  <si>
    <t>Pass\ReturnVarIntObjAssignField.quorum</t>
  </si>
  <si>
    <t>Pass\ReturnVarIntegerAssignField.quorum</t>
  </si>
  <si>
    <t>Pass\ReturnVarNumObjAssignField.quorum</t>
  </si>
  <si>
    <t>Pass\ReturnVarNumberAssignField.quorum</t>
  </si>
  <si>
    <t>Pass\ReturnVarObjectAssignField.quorum</t>
  </si>
  <si>
    <t>Pass\ReturnVarTextAssignField.quorum</t>
  </si>
  <si>
    <t>Pass\ReturnVarTextObjAssignField.quorum</t>
  </si>
  <si>
    <t>Pass\ReturnVarUndefinedAssignField.quorum</t>
  </si>
  <si>
    <t>Pass\ReturnMeVarBoolObjAssignField.quorum</t>
  </si>
  <si>
    <t>Pass\ReturnMeVarBooleanAssignField.quorum</t>
  </si>
  <si>
    <t>Pass\ReturnMeVarIntObjAssignField.quorum</t>
  </si>
  <si>
    <t>Pass\ReturnMeVarIntegerAssignField.quorum</t>
  </si>
  <si>
    <t>Pass\ReturnMeVarNumObjAssignField.quorum</t>
  </si>
  <si>
    <t>Pass\ReturnMeVarNumberAssignField.quorum</t>
  </si>
  <si>
    <t>Pass\ReturnMeVarObjectAssignField.quorum</t>
  </si>
  <si>
    <t>Pass\ReturnMeVarTextAssignField.quorum</t>
  </si>
  <si>
    <t>Pass\ReturnMeVarTextObjAssignField.quorum</t>
  </si>
  <si>
    <t>Pass\ReturnMeVarUndefinedAssignField.quorum</t>
  </si>
  <si>
    <t>Pass\ReturnObjBoolObjAssignField.quorum</t>
  </si>
  <si>
    <t>Pass\ReturnObjBooleanAssignField.quorum</t>
  </si>
  <si>
    <t>Pass\ReturnObjIntObjAssignField.quorum</t>
  </si>
  <si>
    <t>Pass\ReturnObjIntegerAssignField.quorum</t>
  </si>
  <si>
    <t>Pass\ReturnObjNumObjAssignField.quorum</t>
  </si>
  <si>
    <t>Pass\ReturnObjNumberAssignField.quorum</t>
  </si>
  <si>
    <t>Pass\ReturnObjObjectAssignField.quorum</t>
  </si>
  <si>
    <t>Pass\ReturnObjTextAssignField.quorum</t>
  </si>
  <si>
    <t>Pass\ReturnObjTextObjAssignField.quorum</t>
  </si>
  <si>
    <t>Pass\ReturnObjUndefinedAssignField.quorum</t>
  </si>
  <si>
    <t>Pass\ReturnMeObjBoolMeObjAssignField.quorum</t>
  </si>
  <si>
    <t>Pass\ReturnMeObjBooleanAssignField.quorum</t>
  </si>
  <si>
    <t>Pass\ReturnMeObjIntMeObjAssignField.quorum</t>
  </si>
  <si>
    <t>Pass\ReturnMeObjIntegerAssignField.quorum</t>
  </si>
  <si>
    <t>Pass\ReturnMeObjNumMeObjAssignField.quorum</t>
  </si>
  <si>
    <t>Pass\ReturnMeObjNumberAssignField.quorum</t>
  </si>
  <si>
    <t>Pass\ReturnMeObjMeObjectAssignField.quorum</t>
  </si>
  <si>
    <t>Pass\ReturnMeObjTextAssignField.quorum</t>
  </si>
  <si>
    <t>Pass\ReturnMeObjTextMeObjAssignField.quorum</t>
  </si>
  <si>
    <t>Pass\ReturnMeObjUndefinedAssignField.quorum</t>
  </si>
  <si>
    <t>Pass\ReturnObjObjBoolObjObjAssignField.quorum</t>
  </si>
  <si>
    <t>Pass\ReturnObjObjBooleanAssignField.quorum</t>
  </si>
  <si>
    <t>Pass\ReturnObjObjIntObjObjAssignField.quorum</t>
  </si>
  <si>
    <t>Pass\ReturnObjObjIntegerAssignField.quorum</t>
  </si>
  <si>
    <t>Pass\ReturnObjObjNumObjObjAssignField.quorum</t>
  </si>
  <si>
    <t>Pass\ReturnObjObjNumberAssignField.quorum</t>
  </si>
  <si>
    <t>Pass\ReturnObjObjObjectAssignField.quorum</t>
  </si>
  <si>
    <t>Pass\ReturnObjObjTextAssignField.quorum</t>
  </si>
  <si>
    <t>Pass\ReturnObjObjTextObjObjAssignField.quorum</t>
  </si>
  <si>
    <t>Pass\ReturnObjObjUndefinedAssignField.quorum</t>
  </si>
  <si>
    <t>Pass\ReturnMeObjObjBoolMeObjObjAssignField.quorum</t>
  </si>
  <si>
    <t>Pass\ReturnMeObjObjBooleanAssignField.quorum</t>
  </si>
  <si>
    <t>Pass\ReturnMeObjObjIntMeObjObjAssignField.quorum</t>
  </si>
  <si>
    <t>Pass\ReturnMeObjObjIntegerAssignField.quorum</t>
  </si>
  <si>
    <t>Pass\ReturnMeObjObjNumMeObjObjAssignField.quorum</t>
  </si>
  <si>
    <t>Pass\ReturnMeObjObjNumberAssignField.quorum</t>
  </si>
  <si>
    <t>Pass\ReturnMeObjObjObjectAssignField.quorum</t>
  </si>
  <si>
    <t>Pass\ReturnMeObjObjTextAssignField.quorum</t>
  </si>
  <si>
    <t>Pass\ReturnMeObjObjTextMeObjObjAssignField.quorum</t>
  </si>
  <si>
    <t>Pass\ReturnMeObjObjUndefinedAssignField.quorum</t>
  </si>
  <si>
    <t>Solo.quorum</t>
  </si>
  <si>
    <t>Pass\ReturnVarBoolObjSolo.quorum</t>
  </si>
  <si>
    <t>Pass\ReturnVarBooleanSolo.quorum</t>
  </si>
  <si>
    <t>Pass\ReturnVarIntObjSolo.quorum</t>
  </si>
  <si>
    <t>Pass\ReturnVarIntegerSolo.quorum</t>
  </si>
  <si>
    <t>Pass\ReturnVarNumObjSolo.quorum</t>
  </si>
  <si>
    <t>Pass\ReturnVarNumberSolo.quorum</t>
  </si>
  <si>
    <t>Pass\ReturnVarObjectSolo.quorum</t>
  </si>
  <si>
    <t>Pass\ReturnVarTextSolo.quorum</t>
  </si>
  <si>
    <t>Pass\ReturnVarTextObjSolo.quorum</t>
  </si>
  <si>
    <t>Pass\ReturnVarUndefinedSolo.quorum</t>
  </si>
  <si>
    <t>Pass\ReturnMeVarBoolObjSolo.quorum</t>
  </si>
  <si>
    <t>Pass\ReturnMeVarBooleanSolo.quorum</t>
  </si>
  <si>
    <t>Pass\ReturnMeVarIntObjSolo.quorum</t>
  </si>
  <si>
    <t>Pass\ReturnMeVarIntegerSolo.quorum</t>
  </si>
  <si>
    <t>Pass\ReturnMeVarNumObjSolo.quorum</t>
  </si>
  <si>
    <t>Pass\ReturnMeVarNumberSolo.quorum</t>
  </si>
  <si>
    <t>Pass\ReturnMeVarObjectSolo.quorum</t>
  </si>
  <si>
    <t>Pass\ReturnMeVarTextSolo.quorum</t>
  </si>
  <si>
    <t>Pass\ReturnMeVarTextObjSolo.quorum</t>
  </si>
  <si>
    <t>Pass\ReturnMeVarUndefinedSolo.quorum</t>
  </si>
  <si>
    <t>Pass\ReturnObjBoolObjSolo.quorum</t>
  </si>
  <si>
    <t>Pass\ReturnObjBooleanSolo.quorum</t>
  </si>
  <si>
    <t>Pass\ReturnObjIntObjSolo.quorum</t>
  </si>
  <si>
    <t>Pass\ReturnObjIntegerSolo.quorum</t>
  </si>
  <si>
    <t>Pass\ReturnObjNumObjSolo.quorum</t>
  </si>
  <si>
    <t>Pass\ReturnObjNumberSolo.quorum</t>
  </si>
  <si>
    <t>Pass\ReturnObjObjectSolo.quorum</t>
  </si>
  <si>
    <t>Pass\ReturnObjTextSolo.quorum</t>
  </si>
  <si>
    <t>Pass\ReturnObjTextObjSolo.quorum</t>
  </si>
  <si>
    <t>Pass\ReturnObjUndefinedSolo.quorum</t>
  </si>
  <si>
    <t>Pass\ReturnMeObjBoolMeObjSolo.quorum</t>
  </si>
  <si>
    <t>Pass\ReturnMeObjBooleanSolo.quorum</t>
  </si>
  <si>
    <t>Pass\ReturnMeObjIntMeObjSolo.quorum</t>
  </si>
  <si>
    <t>Pass\ReturnMeObjIntegerSolo.quorum</t>
  </si>
  <si>
    <t>Pass\ReturnMeObjNumMeObjSolo.quorum</t>
  </si>
  <si>
    <t>Pass\ReturnMeObjNumberSolo.quorum</t>
  </si>
  <si>
    <t>Pass\ReturnMeObjMeObjectSolo.quorum</t>
  </si>
  <si>
    <t>Pass\ReturnMeObjTextSolo.quorum</t>
  </si>
  <si>
    <t>Pass\ReturnMeObjTextMeObjSolo.quorum</t>
  </si>
  <si>
    <t>Pass\ReturnMeObjUndefinedSolo.quorum</t>
  </si>
  <si>
    <t>Pass\ReturnObjObjBoolObjObjSolo.quorum</t>
  </si>
  <si>
    <t>Pass\ReturnObjObjBooleanSolo.quorum</t>
  </si>
  <si>
    <t>Pass\ReturnObjObjIntObjObjSolo.quorum</t>
  </si>
  <si>
    <t>Pass\ReturnObjObjIntegerSolo.quorum</t>
  </si>
  <si>
    <t>Pass\ReturnObjObjNumObjObjSolo.quorum</t>
  </si>
  <si>
    <t>Pass\ReturnObjObjNumberSolo.quorum</t>
  </si>
  <si>
    <t>Pass\ReturnObjObjObjectSolo.quorum</t>
  </si>
  <si>
    <t>Pass\ReturnObjObjTextSolo.quorum</t>
  </si>
  <si>
    <t>Pass\ReturnObjObjTextObjObjSolo.quorum</t>
  </si>
  <si>
    <t>Pass\ReturnObjObjUndefinedSolo.quorum</t>
  </si>
  <si>
    <t>Pass\ReturnMeObjObjBoolMeObjObjSolo.quorum</t>
  </si>
  <si>
    <t>Pass\ReturnMeObjObjBooleanSolo.quorum</t>
  </si>
  <si>
    <t>Pass\ReturnMeObjObjIntMeObjObjSolo.quorum</t>
  </si>
  <si>
    <t>Pass\ReturnMeObjObjIntegerSolo.quorum</t>
  </si>
  <si>
    <t>Pass\ReturnMeObjObjNumMeObjObjSolo.quorum</t>
  </si>
  <si>
    <t>Pass\ReturnMeObjObjNumberSolo.quorum</t>
  </si>
  <si>
    <t>Pass\ReturnMeObjObjObjectSolo.quorum</t>
  </si>
  <si>
    <t>Pass\ReturnMeObjObjTextSolo.quorum</t>
  </si>
  <si>
    <t>Pass\ReturnMeObjObjTextMeObjObjSolo.quorum</t>
  </si>
  <si>
    <t>Pass\ReturnMeObjObjUndefinedSolo.quorum</t>
  </si>
  <si>
    <t>Assign.quorum</t>
  </si>
  <si>
    <t>Pass\ReturnVarBoolObjAssign.quorum</t>
  </si>
  <si>
    <t>Pass\ReturnVarBooleanAssign.quorum</t>
  </si>
  <si>
    <t>Pass\ReturnVarIntObjAssign.quorum</t>
  </si>
  <si>
    <t>Pass\ReturnVarIntegerAssign.quorum</t>
  </si>
  <si>
    <t>Pass\ReturnVarNumObjAssign.quorum</t>
  </si>
  <si>
    <t>Pass\ReturnVarNumberAssign.quorum</t>
  </si>
  <si>
    <t>Pass\ReturnVarObjectAssign.quorum</t>
  </si>
  <si>
    <t>Pass\ReturnVarTextAssign.quorum</t>
  </si>
  <si>
    <t>Pass\ReturnVarTextObjAssign.quorum</t>
  </si>
  <si>
    <t>Pass\ReturnVarUndefinedAssign.quorum</t>
  </si>
  <si>
    <t>Pass\ReturnMeVarBoolObjAssign.quorum</t>
  </si>
  <si>
    <t>Pass\ReturnMeVarBooleanAssign.quorum</t>
  </si>
  <si>
    <t>Pass\ReturnMeVarIntObjAssign.quorum</t>
  </si>
  <si>
    <t>Pass\ReturnMeVarIntegerAssign.quorum</t>
  </si>
  <si>
    <t>Pass\ReturnMeVarNumObjAssign.quorum</t>
  </si>
  <si>
    <t>Pass\ReturnMeVarNumberAssign.quorum</t>
  </si>
  <si>
    <t>Pass\ReturnMeVarObjectAssign.quorum</t>
  </si>
  <si>
    <t>Pass\ReturnMeVarTextAssign.quorum</t>
  </si>
  <si>
    <t>Pass\ReturnMeVarTextObjAssign.quorum</t>
  </si>
  <si>
    <t>Pass\ReturnMeVarUndefinedAssign.quorum</t>
  </si>
  <si>
    <t>Pass\ReturnObjBoolObjAssign.quorum</t>
  </si>
  <si>
    <t>Pass\ReturnObjBooleanAssign.quorum</t>
  </si>
  <si>
    <t>Pass\ReturnObjIntObjAssign.quorum</t>
  </si>
  <si>
    <t>Pass\ReturnObjIntegerAssign.quorum</t>
  </si>
  <si>
    <t>Pass\ReturnObjNumObjAssign.quorum</t>
  </si>
  <si>
    <t>Pass\ReturnObjNumberAssign.quorum</t>
  </si>
  <si>
    <t>Pass\ReturnObjObjectAssign.quorum</t>
  </si>
  <si>
    <t>Pass\ReturnObjTextAssign.quorum</t>
  </si>
  <si>
    <t>Pass\ReturnObjTextObjAssign.quorum</t>
  </si>
  <si>
    <t>Pass\ReturnObjUndefinedAssign.quorum</t>
  </si>
  <si>
    <t>Pass\ReturnMeObjBoolMeObjAssign.quorum</t>
  </si>
  <si>
    <t>Pass\ReturnMeObjBooleanAssign.quorum</t>
  </si>
  <si>
    <t>Pass\ReturnMeObjIntMeObjAssign.quorum</t>
  </si>
  <si>
    <t>Pass\ReturnMeObjIntegerAssign.quorum</t>
  </si>
  <si>
    <t>Pass\ReturnMeObjNumMeObjAssign.quorum</t>
  </si>
  <si>
    <t>Pass\ReturnMeObjNumberAssign.quorum</t>
  </si>
  <si>
    <t>Pass\ReturnMeObjMeObjectAssign.quorum</t>
  </si>
  <si>
    <t>Pass\ReturnMeObjTextAssign.quorum</t>
  </si>
  <si>
    <t>Pass\ReturnMeObjTextMeObjAssign.quorum</t>
  </si>
  <si>
    <t>Pass\ReturnMeObjUndefinedAssign.quorum</t>
  </si>
  <si>
    <t>Pass\ReturnObjObjBoolObjObjAssign.quorum</t>
  </si>
  <si>
    <t>Pass\ReturnObjObjBooleanAssign.quorum</t>
  </si>
  <si>
    <t>Pass\ReturnObjObjIntObjObjAssign.quorum</t>
  </si>
  <si>
    <t>Pass\ReturnObjObjIntegerAssign.quorum</t>
  </si>
  <si>
    <t>Pass\ReturnObjObjNumObjObjAssign.quorum</t>
  </si>
  <si>
    <t>Pass\ReturnObjObjNumberAssign.quorum</t>
  </si>
  <si>
    <t>Pass\ReturnObjObjObjectAssign.quorum</t>
  </si>
  <si>
    <t>Pass\ReturnObjObjTextAssign.quorum</t>
  </si>
  <si>
    <t>Pass\ReturnObjObjTextObjObjAssign.quorum</t>
  </si>
  <si>
    <t>Pass\ReturnObjObjUndefinedAssign.quorum</t>
  </si>
  <si>
    <t>Pass\ReturnMeObjObjBoolMeObjObjAssign.quorum</t>
  </si>
  <si>
    <t>Pass\ReturnMeObjObjBooleanAssign.quorum</t>
  </si>
  <si>
    <t>Pass\ReturnMeObjObjIntMeObjObjAssign.quorum</t>
  </si>
  <si>
    <t>Pass\ReturnMeObjObjIntegerAssign.quorum</t>
  </si>
  <si>
    <t>Pass\ReturnMeObjObjNumMeObjObjAssign.quorum</t>
  </si>
  <si>
    <t>Pass\ReturnMeObjObjNumberAssign.quorum</t>
  </si>
  <si>
    <t>Pass\ReturnMeObjObjObjectAssign.quorum</t>
  </si>
  <si>
    <t>Pass\ReturnMeObjObjTextAssign.quorum</t>
  </si>
  <si>
    <t>Pass\ReturnMeObjObjTextMeObjObjAssign.quorum</t>
  </si>
  <si>
    <t>Pass\ReturnMeObjObjUndefinedAssign.quorum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</si>
</sst>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name val="Arial"/>
    </font>
    <font>
      <u/>
      <sz val="10"/>
      <color theme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i/>
      <sz val="9"/>
      <name val="Arial"/>
      <family val="2"/>
    </font>
    <font>
      <u/>
      <sz val="8"/>
      <color theme="10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u/>
      <sz val="10"/>
      <color theme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FE2F3"/>
        <bgColor rgb="FFCFE2F3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rgb="FFEFEFEF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1" xfId="0" applyFont="1" applyBorder="1" applyAlignment="1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Fill="1"/>
    <xf numFmtId="0" fontId="4" fillId="0" borderId="1" xfId="0" applyFont="1" applyBorder="1" applyAlignment="1"/>
    <xf numFmtId="0" fontId="2" fillId="0" borderId="2" xfId="0" applyFont="1" applyBorder="1" applyAlignment="1">
      <alignment horizontal="center"/>
    </xf>
    <xf numFmtId="0" fontId="5" fillId="0" borderId="0" xfId="0" applyFont="1"/>
    <xf numFmtId="0" fontId="2" fillId="0" borderId="3" xfId="0" applyFont="1" applyBorder="1"/>
    <xf numFmtId="0" fontId="9" fillId="0" borderId="3" xfId="0" applyFont="1" applyBorder="1"/>
    <xf numFmtId="0" fontId="3" fillId="0" borderId="7" xfId="0" applyFont="1" applyBorder="1" applyAlignment="1"/>
    <xf numFmtId="0" fontId="2" fillId="0" borderId="7" xfId="0" applyFont="1" applyBorder="1"/>
    <xf numFmtId="0" fontId="2" fillId="0" borderId="7" xfId="0" applyFont="1" applyFill="1" applyBorder="1"/>
    <xf numFmtId="0" fontId="2" fillId="3" borderId="1" xfId="0" applyFont="1" applyFill="1" applyBorder="1" applyAlignment="1"/>
    <xf numFmtId="0" fontId="6" fillId="3" borderId="0" xfId="1" applyFont="1" applyFill="1"/>
    <xf numFmtId="0" fontId="2" fillId="3" borderId="1" xfId="0" applyFont="1" applyFill="1" applyBorder="1" applyAlignment="1">
      <alignment horizontal="center"/>
    </xf>
    <xf numFmtId="0" fontId="3" fillId="2" borderId="6" xfId="0" applyFont="1" applyFill="1" applyBorder="1" applyAlignment="1"/>
    <xf numFmtId="0" fontId="3" fillId="2" borderId="3" xfId="0" applyFont="1" applyFill="1" applyBorder="1" applyAlignment="1"/>
    <xf numFmtId="0" fontId="3" fillId="2" borderId="3" xfId="0" applyFont="1" applyFill="1" applyBorder="1" applyAlignment="1">
      <alignment horizontal="center"/>
    </xf>
    <xf numFmtId="0" fontId="7" fillId="2" borderId="3" xfId="0" applyFont="1" applyFill="1" applyBorder="1" applyAlignment="1"/>
    <xf numFmtId="0" fontId="7" fillId="2" borderId="4" xfId="0" applyFont="1" applyFill="1" applyBorder="1" applyAlignment="1"/>
    <xf numFmtId="0" fontId="3" fillId="4" borderId="7" xfId="0" applyFont="1" applyFill="1" applyBorder="1" applyAlignment="1"/>
    <xf numFmtId="0" fontId="3" fillId="4" borderId="1" xfId="0" applyFont="1" applyFill="1" applyBorder="1" applyAlignment="1"/>
    <xf numFmtId="0" fontId="3" fillId="4" borderId="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8" fillId="5" borderId="6" xfId="0" applyFont="1" applyFill="1" applyBorder="1" applyAlignment="1"/>
    <xf numFmtId="0" fontId="8" fillId="5" borderId="3" xfId="0" applyFont="1" applyFill="1" applyBorder="1" applyAlignment="1"/>
    <xf numFmtId="0" fontId="8" fillId="5" borderId="3" xfId="0" applyFont="1" applyFill="1" applyBorder="1" applyAlignment="1">
      <alignment horizontal="center"/>
    </xf>
    <xf numFmtId="0" fontId="8" fillId="5" borderId="4" xfId="0" applyFont="1" applyFill="1" applyBorder="1" applyAlignment="1"/>
    <xf numFmtId="0" fontId="2" fillId="0" borderId="1" xfId="0" applyFont="1" applyBorder="1"/>
    <xf numFmtId="0" fontId="2" fillId="0" borderId="1" xfId="0" applyFont="1" applyBorder="1" applyAlignment="1">
      <alignment horizontal="center"/>
    </xf>
  </cellXfs>
  <cellStyles count="6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Hy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Pass\ReturnObjObjBooleanSolo.quorum" TargetMode="External"/><Relationship Id="rId117" Type="http://schemas.openxmlformats.org/officeDocument/2006/relationships/hyperlink" Target="Pass\ReturnMeObjNumMeObjAssignField.quorum" TargetMode="External"/><Relationship Id="rId21" Type="http://schemas.openxmlformats.org/officeDocument/2006/relationships/hyperlink" Target="Pass\ReturnMeObjBoolMeObjAssign.quorum" TargetMode="External"/><Relationship Id="rId42" Type="http://schemas.openxmlformats.org/officeDocument/2006/relationships/hyperlink" Target="Pass\ReturnVarTextSolo.quorum" TargetMode="External"/><Relationship Id="rId47" Type="http://schemas.openxmlformats.org/officeDocument/2006/relationships/hyperlink" Target="Pass\ReturnVarIntegerAssign.quorum" TargetMode="External"/><Relationship Id="rId63" Type="http://schemas.openxmlformats.org/officeDocument/2006/relationships/hyperlink" Target="Pass\ReturnMeVarIntObjAssignField.quorum" TargetMode="External"/><Relationship Id="rId68" Type="http://schemas.openxmlformats.org/officeDocument/2006/relationships/hyperlink" Target="Pass\ReturnMeVarNumObjAssign.quorum" TargetMode="External"/><Relationship Id="rId84" Type="http://schemas.openxmlformats.org/officeDocument/2006/relationships/hyperlink" Target="Pass\ReturnMeVarUndefinedAssignField.quorum" TargetMode="External"/><Relationship Id="rId89" Type="http://schemas.openxmlformats.org/officeDocument/2006/relationships/hyperlink" Target="Pass\ReturnObjIntegerAssign.quorum" TargetMode="External"/><Relationship Id="rId112" Type="http://schemas.openxmlformats.org/officeDocument/2006/relationships/hyperlink" Target="Pass\ReturnMeObjIntegerSolo.quorum" TargetMode="External"/><Relationship Id="rId133" Type="http://schemas.openxmlformats.org/officeDocument/2006/relationships/hyperlink" Target="Pass\ReturnObjObjIntObjObjSolo.quorum" TargetMode="External"/><Relationship Id="rId138" Type="http://schemas.openxmlformats.org/officeDocument/2006/relationships/hyperlink" Target="Pass\ReturnObjObjIntegerAssignField.quorum" TargetMode="External"/><Relationship Id="rId154" Type="http://schemas.openxmlformats.org/officeDocument/2006/relationships/hyperlink" Target="Pass\ReturnObjObjUndefinedSolo.quorum" TargetMode="External"/><Relationship Id="rId159" Type="http://schemas.openxmlformats.org/officeDocument/2006/relationships/hyperlink" Target="Pass\ReturnMeObjObjIntMeObjObjAssignField.quorum" TargetMode="External"/><Relationship Id="rId175" Type="http://schemas.openxmlformats.org/officeDocument/2006/relationships/hyperlink" Target="Pass\ReturnMeObjObjTextMeObjObjSolo.quorum" TargetMode="External"/><Relationship Id="rId170" Type="http://schemas.openxmlformats.org/officeDocument/2006/relationships/hyperlink" Target="Pass\ReturnMeObjObjObjectAssign.quorum" TargetMode="External"/><Relationship Id="rId16" Type="http://schemas.openxmlformats.org/officeDocument/2006/relationships/hyperlink" Target="Pass\ReturnObjBooleanAssign.quorum" TargetMode="External"/><Relationship Id="rId107" Type="http://schemas.openxmlformats.org/officeDocument/2006/relationships/hyperlink" Target="Pass\ReturnObjUndefinedAssign.quorum" TargetMode="External"/><Relationship Id="rId11" Type="http://schemas.openxmlformats.org/officeDocument/2006/relationships/hyperlink" Target="Pass\ReturnMeVarBoolObjAssignField.quorum" TargetMode="External"/><Relationship Id="rId32" Type="http://schemas.openxmlformats.org/officeDocument/2006/relationships/hyperlink" Target="Pass\ReturnMeObjObjBooleanSolo.quorum" TargetMode="External"/><Relationship Id="rId37" Type="http://schemas.openxmlformats.org/officeDocument/2006/relationships/hyperlink" Target="Pass\ReturnVarIntObjSolo.quorum" TargetMode="External"/><Relationship Id="rId53" Type="http://schemas.openxmlformats.org/officeDocument/2006/relationships/hyperlink" Target="Pass\ReturnVarObjectAssign.quorum" TargetMode="External"/><Relationship Id="rId58" Type="http://schemas.openxmlformats.org/officeDocument/2006/relationships/hyperlink" Target="Pass\ReturnVarTextObjAssignField.quorum" TargetMode="External"/><Relationship Id="rId74" Type="http://schemas.openxmlformats.org/officeDocument/2006/relationships/hyperlink" Target="Pass\ReturnMeVarObjectAssign.quorum" TargetMode="External"/><Relationship Id="rId79" Type="http://schemas.openxmlformats.org/officeDocument/2006/relationships/hyperlink" Target="Pass\ReturnMeVarTextObjSolo.quorum" TargetMode="External"/><Relationship Id="rId102" Type="http://schemas.openxmlformats.org/officeDocument/2006/relationships/hyperlink" Target="Pass\ReturnObjTextAssignField.quorum" TargetMode="External"/><Relationship Id="rId123" Type="http://schemas.openxmlformats.org/officeDocument/2006/relationships/hyperlink" Target="Pass\ReturnMeObjMeObjectAssignField.quorum" TargetMode="External"/><Relationship Id="rId128" Type="http://schemas.openxmlformats.org/officeDocument/2006/relationships/hyperlink" Target="Pass\ReturnMeObjTextMeObjAssign.quorum" TargetMode="External"/><Relationship Id="rId144" Type="http://schemas.openxmlformats.org/officeDocument/2006/relationships/hyperlink" Target="Pass\ReturnObjObjNumberAssignField.quorum" TargetMode="External"/><Relationship Id="rId149" Type="http://schemas.openxmlformats.org/officeDocument/2006/relationships/hyperlink" Target="Pass\ReturnObjObjTextAssign.quorum" TargetMode="External"/><Relationship Id="rId5" Type="http://schemas.openxmlformats.org/officeDocument/2006/relationships/hyperlink" Target="Pass\ReturnVarBoolObjAssignField.quorum" TargetMode="External"/><Relationship Id="rId90" Type="http://schemas.openxmlformats.org/officeDocument/2006/relationships/hyperlink" Target="Pass\ReturnObjIntegerAssignField.quorum" TargetMode="External"/><Relationship Id="rId95" Type="http://schemas.openxmlformats.org/officeDocument/2006/relationships/hyperlink" Target="Pass\ReturnObjNumberAssign.quorum" TargetMode="External"/><Relationship Id="rId160" Type="http://schemas.openxmlformats.org/officeDocument/2006/relationships/hyperlink" Target="Pass\ReturnMeObjObjIntegerSolo.quorum" TargetMode="External"/><Relationship Id="rId165" Type="http://schemas.openxmlformats.org/officeDocument/2006/relationships/hyperlink" Target="Pass\ReturnMeObjObjNumMeObjObjAssignField.quorum" TargetMode="External"/><Relationship Id="rId181" Type="http://schemas.openxmlformats.org/officeDocument/2006/relationships/printerSettings" Target="../printerSettings/printerSettings1.bin"/><Relationship Id="rId22" Type="http://schemas.openxmlformats.org/officeDocument/2006/relationships/hyperlink" Target="Pass\ReturnMeObjBooleanAssign.quorum" TargetMode="External"/><Relationship Id="rId27" Type="http://schemas.openxmlformats.org/officeDocument/2006/relationships/hyperlink" Target="Pass\ReturnObjObjBoolObjObjAssign.quorum" TargetMode="External"/><Relationship Id="rId43" Type="http://schemas.openxmlformats.org/officeDocument/2006/relationships/hyperlink" Target="Pass\ReturnVarTextObjSolo.quorum" TargetMode="External"/><Relationship Id="rId48" Type="http://schemas.openxmlformats.org/officeDocument/2006/relationships/hyperlink" Target="Pass\ReturnVarIntegerAssignField.quorum" TargetMode="External"/><Relationship Id="rId64" Type="http://schemas.openxmlformats.org/officeDocument/2006/relationships/hyperlink" Target="Pass\ReturnMeVarIntegerSolo.quorum" TargetMode="External"/><Relationship Id="rId69" Type="http://schemas.openxmlformats.org/officeDocument/2006/relationships/hyperlink" Target="Pass\ReturnMeVarNumObjAssignField.quorum" TargetMode="External"/><Relationship Id="rId113" Type="http://schemas.openxmlformats.org/officeDocument/2006/relationships/hyperlink" Target="Pass\ReturnMeObjIntegerAssign.quorum" TargetMode="External"/><Relationship Id="rId118" Type="http://schemas.openxmlformats.org/officeDocument/2006/relationships/hyperlink" Target="Pass\ReturnMeObjNumberSolo.quorum" TargetMode="External"/><Relationship Id="rId134" Type="http://schemas.openxmlformats.org/officeDocument/2006/relationships/hyperlink" Target="Pass\ReturnObjObjIntObjObjAssign.quorum" TargetMode="External"/><Relationship Id="rId139" Type="http://schemas.openxmlformats.org/officeDocument/2006/relationships/hyperlink" Target="Pass\ReturnObjObjNumObjObjSolo.quorum" TargetMode="External"/><Relationship Id="rId80" Type="http://schemas.openxmlformats.org/officeDocument/2006/relationships/hyperlink" Target="Pass\ReturnMeVarTextObjAssign.quorum" TargetMode="External"/><Relationship Id="rId85" Type="http://schemas.openxmlformats.org/officeDocument/2006/relationships/hyperlink" Target="Pass\ReturnObjIntObjSolo.quorum" TargetMode="External"/><Relationship Id="rId150" Type="http://schemas.openxmlformats.org/officeDocument/2006/relationships/hyperlink" Target="Pass\ReturnObjObjTextAssignField.quorum" TargetMode="External"/><Relationship Id="rId155" Type="http://schemas.openxmlformats.org/officeDocument/2006/relationships/hyperlink" Target="Pass\ReturnObjObjUndefinedAssign.quorum" TargetMode="External"/><Relationship Id="rId171" Type="http://schemas.openxmlformats.org/officeDocument/2006/relationships/hyperlink" Target="Pass\ReturnMeObjObjObjectAssignField.quorum" TargetMode="External"/><Relationship Id="rId176" Type="http://schemas.openxmlformats.org/officeDocument/2006/relationships/hyperlink" Target="Pass\ReturnMeObjObjTextMeObjObjAssign.quorum" TargetMode="External"/><Relationship Id="rId12" Type="http://schemas.openxmlformats.org/officeDocument/2006/relationships/hyperlink" Target="Pass\ReturnMeVarBooleanAssignField.quorum" TargetMode="External"/><Relationship Id="rId17" Type="http://schemas.openxmlformats.org/officeDocument/2006/relationships/hyperlink" Target="Pass\ReturnObjBoolObjAssignField.quorum" TargetMode="External"/><Relationship Id="rId33" Type="http://schemas.openxmlformats.org/officeDocument/2006/relationships/hyperlink" Target="Pass\ReturnMeObjObjBoolMeObjObjAssign.quorum" TargetMode="External"/><Relationship Id="rId38" Type="http://schemas.openxmlformats.org/officeDocument/2006/relationships/hyperlink" Target="Pass\ReturnVarIntegerSolo.quorum" TargetMode="External"/><Relationship Id="rId59" Type="http://schemas.openxmlformats.org/officeDocument/2006/relationships/hyperlink" Target="Pass\ReturnVarUndefinedAssign.quorum" TargetMode="External"/><Relationship Id="rId103" Type="http://schemas.openxmlformats.org/officeDocument/2006/relationships/hyperlink" Target="Pass\ReturnObjTextObjSolo.quorum" TargetMode="External"/><Relationship Id="rId108" Type="http://schemas.openxmlformats.org/officeDocument/2006/relationships/hyperlink" Target="Pass\ReturnObjUndefinedAssignField.quorum" TargetMode="External"/><Relationship Id="rId124" Type="http://schemas.openxmlformats.org/officeDocument/2006/relationships/hyperlink" Target="Pass\ReturnMeObjTextSolo.quorum" TargetMode="External"/><Relationship Id="rId129" Type="http://schemas.openxmlformats.org/officeDocument/2006/relationships/hyperlink" Target="Pass\ReturnMeObjTextMeObjAssignField.quorum" TargetMode="External"/><Relationship Id="rId54" Type="http://schemas.openxmlformats.org/officeDocument/2006/relationships/hyperlink" Target="Pass\ReturnVarObjectAssignField.quorum" TargetMode="External"/><Relationship Id="rId70" Type="http://schemas.openxmlformats.org/officeDocument/2006/relationships/hyperlink" Target="Pass\ReturnMeVarNumberSolo.quorum" TargetMode="External"/><Relationship Id="rId75" Type="http://schemas.openxmlformats.org/officeDocument/2006/relationships/hyperlink" Target="Pass\ReturnMeVarObjectAssignField.quorum" TargetMode="External"/><Relationship Id="rId91" Type="http://schemas.openxmlformats.org/officeDocument/2006/relationships/hyperlink" Target="Pass\ReturnObjNumObjSolo.quorum" TargetMode="External"/><Relationship Id="rId96" Type="http://schemas.openxmlformats.org/officeDocument/2006/relationships/hyperlink" Target="Pass\ReturnObjNumberAssignField.quorum" TargetMode="External"/><Relationship Id="rId140" Type="http://schemas.openxmlformats.org/officeDocument/2006/relationships/hyperlink" Target="Pass\ReturnObjObjNumObjObjAssign.quorum" TargetMode="External"/><Relationship Id="rId145" Type="http://schemas.openxmlformats.org/officeDocument/2006/relationships/hyperlink" Target="Pass\ReturnObjObjObjectSolo.quorum" TargetMode="External"/><Relationship Id="rId161" Type="http://schemas.openxmlformats.org/officeDocument/2006/relationships/hyperlink" Target="Pass\ReturnMeObjObjIntegerAssign.quorum" TargetMode="External"/><Relationship Id="rId166" Type="http://schemas.openxmlformats.org/officeDocument/2006/relationships/hyperlink" Target="Pass\ReturnMeObjObjNumberSolo.quorum" TargetMode="External"/><Relationship Id="rId1" Type="http://schemas.openxmlformats.org/officeDocument/2006/relationships/hyperlink" Target="Pass\ReturnVarBoolObjSolo.quorum" TargetMode="External"/><Relationship Id="rId6" Type="http://schemas.openxmlformats.org/officeDocument/2006/relationships/hyperlink" Target="Pass\ReturnVarBooleanAssignField.quorum" TargetMode="External"/><Relationship Id="rId23" Type="http://schemas.openxmlformats.org/officeDocument/2006/relationships/hyperlink" Target="Pass\ReturnMeObjBoolMeObjAssignField.quorum" TargetMode="External"/><Relationship Id="rId28" Type="http://schemas.openxmlformats.org/officeDocument/2006/relationships/hyperlink" Target="Pass\ReturnObjObjBooleanAssign.quorum" TargetMode="External"/><Relationship Id="rId49" Type="http://schemas.openxmlformats.org/officeDocument/2006/relationships/hyperlink" Target="Pass\ReturnVarNumObjAssign.quorum" TargetMode="External"/><Relationship Id="rId114" Type="http://schemas.openxmlformats.org/officeDocument/2006/relationships/hyperlink" Target="Pass\ReturnMeObjIntegerAssignField.quorum" TargetMode="External"/><Relationship Id="rId119" Type="http://schemas.openxmlformats.org/officeDocument/2006/relationships/hyperlink" Target="Pass\ReturnMeObjNumberAssign.quorum" TargetMode="External"/><Relationship Id="rId44" Type="http://schemas.openxmlformats.org/officeDocument/2006/relationships/hyperlink" Target="Pass\ReturnVarUndefinedSolo.quorum" TargetMode="External"/><Relationship Id="rId60" Type="http://schemas.openxmlformats.org/officeDocument/2006/relationships/hyperlink" Target="Pass\ReturnVarUndefinedAssignField.quorum" TargetMode="External"/><Relationship Id="rId65" Type="http://schemas.openxmlformats.org/officeDocument/2006/relationships/hyperlink" Target="Pass\ReturnMeVarIntegerAssign.quorum" TargetMode="External"/><Relationship Id="rId81" Type="http://schemas.openxmlformats.org/officeDocument/2006/relationships/hyperlink" Target="Pass\ReturnMeVarTextObjAssignField.quorum" TargetMode="External"/><Relationship Id="rId86" Type="http://schemas.openxmlformats.org/officeDocument/2006/relationships/hyperlink" Target="Pass\ReturnObjIntObjAssign.quorum" TargetMode="External"/><Relationship Id="rId130" Type="http://schemas.openxmlformats.org/officeDocument/2006/relationships/hyperlink" Target="Pass\ReturnMeObjUndefinedSolo.quorum" TargetMode="External"/><Relationship Id="rId135" Type="http://schemas.openxmlformats.org/officeDocument/2006/relationships/hyperlink" Target="Pass\ReturnObjObjIntObjObjAssignField.quorum" TargetMode="External"/><Relationship Id="rId151" Type="http://schemas.openxmlformats.org/officeDocument/2006/relationships/hyperlink" Target="Pass\ReturnObjObjTextObjObjSolo.quorum" TargetMode="External"/><Relationship Id="rId156" Type="http://schemas.openxmlformats.org/officeDocument/2006/relationships/hyperlink" Target="Pass\ReturnObjObjUndefinedAssignField.quorum" TargetMode="External"/><Relationship Id="rId177" Type="http://schemas.openxmlformats.org/officeDocument/2006/relationships/hyperlink" Target="Pass\ReturnMeObjObjTextMeObjObjAssignField.quorum" TargetMode="External"/><Relationship Id="rId4" Type="http://schemas.openxmlformats.org/officeDocument/2006/relationships/hyperlink" Target="Pass\ReturnVarBooleanAssign.quorum" TargetMode="External"/><Relationship Id="rId9" Type="http://schemas.openxmlformats.org/officeDocument/2006/relationships/hyperlink" Target="Pass\ReturnMeVarBoolObjAssign.quorum" TargetMode="External"/><Relationship Id="rId172" Type="http://schemas.openxmlformats.org/officeDocument/2006/relationships/hyperlink" Target="Pass\ReturnMeObjObjTextSolo.quorum" TargetMode="External"/><Relationship Id="rId180" Type="http://schemas.openxmlformats.org/officeDocument/2006/relationships/hyperlink" Target="Pass\ReturnMeObjObjUndefinedAssignField.quorum" TargetMode="External"/><Relationship Id="rId13" Type="http://schemas.openxmlformats.org/officeDocument/2006/relationships/hyperlink" Target="Pass\ReturnObjBoolObjSolo.quorum" TargetMode="External"/><Relationship Id="rId18" Type="http://schemas.openxmlformats.org/officeDocument/2006/relationships/hyperlink" Target="Pass\ReturnObjBooleanAssignField.quorum" TargetMode="External"/><Relationship Id="rId39" Type="http://schemas.openxmlformats.org/officeDocument/2006/relationships/hyperlink" Target="Pass\ReturnVarNumObjSolo.quorum" TargetMode="External"/><Relationship Id="rId109" Type="http://schemas.openxmlformats.org/officeDocument/2006/relationships/hyperlink" Target="Pass\ReturnMeObjIntMeObjSolo.quorum" TargetMode="External"/><Relationship Id="rId34" Type="http://schemas.openxmlformats.org/officeDocument/2006/relationships/hyperlink" Target="Pass\ReturnMeObjObjBooleanAssign.quorum" TargetMode="External"/><Relationship Id="rId50" Type="http://schemas.openxmlformats.org/officeDocument/2006/relationships/hyperlink" Target="Pass\ReturnVarNumObjAssignField.quorum" TargetMode="External"/><Relationship Id="rId55" Type="http://schemas.openxmlformats.org/officeDocument/2006/relationships/hyperlink" Target="Pass\ReturnVarTextAssign.quorum" TargetMode="External"/><Relationship Id="rId76" Type="http://schemas.openxmlformats.org/officeDocument/2006/relationships/hyperlink" Target="Pass\ReturnMeVarTextSolo.quorum" TargetMode="External"/><Relationship Id="rId97" Type="http://schemas.openxmlformats.org/officeDocument/2006/relationships/hyperlink" Target="Pass\ReturnObjObjectSolo.quorum" TargetMode="External"/><Relationship Id="rId104" Type="http://schemas.openxmlformats.org/officeDocument/2006/relationships/hyperlink" Target="Pass\ReturnObjTextObjAssign.quorum" TargetMode="External"/><Relationship Id="rId120" Type="http://schemas.openxmlformats.org/officeDocument/2006/relationships/hyperlink" Target="Pass\ReturnMeObjNumberAssignField.quorum" TargetMode="External"/><Relationship Id="rId125" Type="http://schemas.openxmlformats.org/officeDocument/2006/relationships/hyperlink" Target="Pass\ReturnMeObjTextAssign.quorum" TargetMode="External"/><Relationship Id="rId141" Type="http://schemas.openxmlformats.org/officeDocument/2006/relationships/hyperlink" Target="Pass\ReturnObjObjNumObjObjAssignField.quorum" TargetMode="External"/><Relationship Id="rId146" Type="http://schemas.openxmlformats.org/officeDocument/2006/relationships/hyperlink" Target="Pass\ReturnObjObjObjectAssign.quorum" TargetMode="External"/><Relationship Id="rId167" Type="http://schemas.openxmlformats.org/officeDocument/2006/relationships/hyperlink" Target="Pass\ReturnMeObjObjNumberAssign.quorum" TargetMode="External"/><Relationship Id="rId7" Type="http://schemas.openxmlformats.org/officeDocument/2006/relationships/hyperlink" Target="Pass\ReturnMeVarBoolObjSolo.quorum" TargetMode="External"/><Relationship Id="rId71" Type="http://schemas.openxmlformats.org/officeDocument/2006/relationships/hyperlink" Target="Pass\ReturnMeVarNumberAssign.quorum" TargetMode="External"/><Relationship Id="rId92" Type="http://schemas.openxmlformats.org/officeDocument/2006/relationships/hyperlink" Target="Pass\ReturnObjNumObjAssign.quorum" TargetMode="External"/><Relationship Id="rId162" Type="http://schemas.openxmlformats.org/officeDocument/2006/relationships/hyperlink" Target="Pass\ReturnMeObjObjIntegerAssignField.quorum" TargetMode="External"/><Relationship Id="rId2" Type="http://schemas.openxmlformats.org/officeDocument/2006/relationships/hyperlink" Target="Pass\ReturnVarBooleanSolo.quorum" TargetMode="External"/><Relationship Id="rId29" Type="http://schemas.openxmlformats.org/officeDocument/2006/relationships/hyperlink" Target="Pass\ReturnObjObjBoolObjObjAssignField.quorum" TargetMode="External"/><Relationship Id="rId24" Type="http://schemas.openxmlformats.org/officeDocument/2006/relationships/hyperlink" Target="Pass\ReturnMeObjBooleanAssignField.quorum" TargetMode="External"/><Relationship Id="rId40" Type="http://schemas.openxmlformats.org/officeDocument/2006/relationships/hyperlink" Target="Pass\ReturnVarNumberSolo.quorum" TargetMode="External"/><Relationship Id="rId45" Type="http://schemas.openxmlformats.org/officeDocument/2006/relationships/hyperlink" Target="Pass\ReturnVarIntObjAssign.quorum" TargetMode="External"/><Relationship Id="rId66" Type="http://schemas.openxmlformats.org/officeDocument/2006/relationships/hyperlink" Target="Pass\ReturnMeVarIntegerAssignField.quorum" TargetMode="External"/><Relationship Id="rId87" Type="http://schemas.openxmlformats.org/officeDocument/2006/relationships/hyperlink" Target="Pass\ReturnObjIntObjAssignField.quorum" TargetMode="External"/><Relationship Id="rId110" Type="http://schemas.openxmlformats.org/officeDocument/2006/relationships/hyperlink" Target="Pass\ReturnMeObjIntMeObjAssign.quorum" TargetMode="External"/><Relationship Id="rId115" Type="http://schemas.openxmlformats.org/officeDocument/2006/relationships/hyperlink" Target="Pass\ReturnMeObjNumMeObjSolo.quorum" TargetMode="External"/><Relationship Id="rId131" Type="http://schemas.openxmlformats.org/officeDocument/2006/relationships/hyperlink" Target="Pass\ReturnMeObjUndefinedAssign.quorum" TargetMode="External"/><Relationship Id="rId136" Type="http://schemas.openxmlformats.org/officeDocument/2006/relationships/hyperlink" Target="Pass\ReturnObjObjIntegerSolo.quorum" TargetMode="External"/><Relationship Id="rId157" Type="http://schemas.openxmlformats.org/officeDocument/2006/relationships/hyperlink" Target="Pass\ReturnMeObjObjIntMeObjObjSolo.quorum" TargetMode="External"/><Relationship Id="rId178" Type="http://schemas.openxmlformats.org/officeDocument/2006/relationships/hyperlink" Target="Pass\ReturnMeObjObjUndefinedSolo.quorum" TargetMode="External"/><Relationship Id="rId61" Type="http://schemas.openxmlformats.org/officeDocument/2006/relationships/hyperlink" Target="Pass\ReturnMeVarIntObjSolo.quorum" TargetMode="External"/><Relationship Id="rId82" Type="http://schemas.openxmlformats.org/officeDocument/2006/relationships/hyperlink" Target="Pass\ReturnMeVarUndefinedSolo.quorum" TargetMode="External"/><Relationship Id="rId152" Type="http://schemas.openxmlformats.org/officeDocument/2006/relationships/hyperlink" Target="Pass\ReturnObjObjTextObjObjAssign.quorum" TargetMode="External"/><Relationship Id="rId173" Type="http://schemas.openxmlformats.org/officeDocument/2006/relationships/hyperlink" Target="Pass\ReturnMeObjObjTextAssign.quorum" TargetMode="External"/><Relationship Id="rId19" Type="http://schemas.openxmlformats.org/officeDocument/2006/relationships/hyperlink" Target="Pass\ReturnMeObjBoolMeObjSolo.quorum" TargetMode="External"/><Relationship Id="rId14" Type="http://schemas.openxmlformats.org/officeDocument/2006/relationships/hyperlink" Target="Pass\ReturnObjBooleanSolo.quorum" TargetMode="External"/><Relationship Id="rId30" Type="http://schemas.openxmlformats.org/officeDocument/2006/relationships/hyperlink" Target="Pass\ReturnObjObjBooleanAssignField.quorum" TargetMode="External"/><Relationship Id="rId35" Type="http://schemas.openxmlformats.org/officeDocument/2006/relationships/hyperlink" Target="Pass\ReturnMeObjObjBoolMeObjObjAssignField.quorum" TargetMode="External"/><Relationship Id="rId56" Type="http://schemas.openxmlformats.org/officeDocument/2006/relationships/hyperlink" Target="Pass\ReturnVarTextAssignField.quorum" TargetMode="External"/><Relationship Id="rId77" Type="http://schemas.openxmlformats.org/officeDocument/2006/relationships/hyperlink" Target="Pass\ReturnMeVarTextAssign.quorum" TargetMode="External"/><Relationship Id="rId100" Type="http://schemas.openxmlformats.org/officeDocument/2006/relationships/hyperlink" Target="Pass\ReturnObjTextSolo.quorum" TargetMode="External"/><Relationship Id="rId105" Type="http://schemas.openxmlformats.org/officeDocument/2006/relationships/hyperlink" Target="Pass\ReturnObjTextObjAssignField.quorum" TargetMode="External"/><Relationship Id="rId126" Type="http://schemas.openxmlformats.org/officeDocument/2006/relationships/hyperlink" Target="Pass\ReturnMeObjTextAssignField.quorum" TargetMode="External"/><Relationship Id="rId147" Type="http://schemas.openxmlformats.org/officeDocument/2006/relationships/hyperlink" Target="Pass\ReturnObjObjObjectAssignField.quorum" TargetMode="External"/><Relationship Id="rId168" Type="http://schemas.openxmlformats.org/officeDocument/2006/relationships/hyperlink" Target="Pass\ReturnMeObjObjNumberAssignField.quorum" TargetMode="External"/><Relationship Id="rId8" Type="http://schemas.openxmlformats.org/officeDocument/2006/relationships/hyperlink" Target="Pass\ReturnMeVarBooleanSolo.quorum" TargetMode="External"/><Relationship Id="rId51" Type="http://schemas.openxmlformats.org/officeDocument/2006/relationships/hyperlink" Target="Pass\ReturnVarNumberAssign.quorum" TargetMode="External"/><Relationship Id="rId72" Type="http://schemas.openxmlformats.org/officeDocument/2006/relationships/hyperlink" Target="Pass\ReturnMeVarNumberAssignField.quorum" TargetMode="External"/><Relationship Id="rId93" Type="http://schemas.openxmlformats.org/officeDocument/2006/relationships/hyperlink" Target="Pass\ReturnObjNumObjAssignField.quorum" TargetMode="External"/><Relationship Id="rId98" Type="http://schemas.openxmlformats.org/officeDocument/2006/relationships/hyperlink" Target="Pass\ReturnObjObjectAssign.quorum" TargetMode="External"/><Relationship Id="rId121" Type="http://schemas.openxmlformats.org/officeDocument/2006/relationships/hyperlink" Target="Pass\ReturnMeObjMeObjectSolo.quorum" TargetMode="External"/><Relationship Id="rId142" Type="http://schemas.openxmlformats.org/officeDocument/2006/relationships/hyperlink" Target="Pass\ReturnObjObjNumberSolo.quorum" TargetMode="External"/><Relationship Id="rId163" Type="http://schemas.openxmlformats.org/officeDocument/2006/relationships/hyperlink" Target="Pass\ReturnMeObjObjNumMeObjObjSolo.quorum" TargetMode="External"/><Relationship Id="rId3" Type="http://schemas.openxmlformats.org/officeDocument/2006/relationships/hyperlink" Target="Pass\ReturnVarBoolObjAssign.quorum" TargetMode="External"/><Relationship Id="rId25" Type="http://schemas.openxmlformats.org/officeDocument/2006/relationships/hyperlink" Target="Pass\ReturnObjObjBoolObjObjSolo.quorum" TargetMode="External"/><Relationship Id="rId46" Type="http://schemas.openxmlformats.org/officeDocument/2006/relationships/hyperlink" Target="Pass\ReturnVarIntObjAssignField.quorum" TargetMode="External"/><Relationship Id="rId67" Type="http://schemas.openxmlformats.org/officeDocument/2006/relationships/hyperlink" Target="Pass\ReturnMeVarNumObjSolo.quorum" TargetMode="External"/><Relationship Id="rId116" Type="http://schemas.openxmlformats.org/officeDocument/2006/relationships/hyperlink" Target="Pass\ReturnMeObjNumMeObjAssign.quorum" TargetMode="External"/><Relationship Id="rId137" Type="http://schemas.openxmlformats.org/officeDocument/2006/relationships/hyperlink" Target="Pass\ReturnObjObjIntegerAssign.quorum" TargetMode="External"/><Relationship Id="rId158" Type="http://schemas.openxmlformats.org/officeDocument/2006/relationships/hyperlink" Target="Pass\ReturnMeObjObjIntMeObjObjAssign.quorum" TargetMode="External"/><Relationship Id="rId20" Type="http://schemas.openxmlformats.org/officeDocument/2006/relationships/hyperlink" Target="Pass\ReturnMeObjBooleanSolo.quorum" TargetMode="External"/><Relationship Id="rId41" Type="http://schemas.openxmlformats.org/officeDocument/2006/relationships/hyperlink" Target="Pass\ReturnVarObjectSolo.quorum" TargetMode="External"/><Relationship Id="rId62" Type="http://schemas.openxmlformats.org/officeDocument/2006/relationships/hyperlink" Target="Pass\ReturnMeVarIntObjAssign.quorum" TargetMode="External"/><Relationship Id="rId83" Type="http://schemas.openxmlformats.org/officeDocument/2006/relationships/hyperlink" Target="Pass\ReturnMeVarUndefinedAssign.quorum" TargetMode="External"/><Relationship Id="rId88" Type="http://schemas.openxmlformats.org/officeDocument/2006/relationships/hyperlink" Target="Pass\ReturnObjIntegerSolo.quorum" TargetMode="External"/><Relationship Id="rId111" Type="http://schemas.openxmlformats.org/officeDocument/2006/relationships/hyperlink" Target="Pass\ReturnMeObjIntMeObjAssignField.quorum" TargetMode="External"/><Relationship Id="rId132" Type="http://schemas.openxmlformats.org/officeDocument/2006/relationships/hyperlink" Target="Pass\ReturnMeObjUndefinedAssignField.quorum" TargetMode="External"/><Relationship Id="rId153" Type="http://schemas.openxmlformats.org/officeDocument/2006/relationships/hyperlink" Target="Pass\ReturnObjObjTextObjObjAssignField.quorum" TargetMode="External"/><Relationship Id="rId174" Type="http://schemas.openxmlformats.org/officeDocument/2006/relationships/hyperlink" Target="Pass\ReturnMeObjObjTextAssignField.quorum" TargetMode="External"/><Relationship Id="rId179" Type="http://schemas.openxmlformats.org/officeDocument/2006/relationships/hyperlink" Target="Pass\ReturnMeObjObjUndefinedAssign.quorum" TargetMode="External"/><Relationship Id="rId15" Type="http://schemas.openxmlformats.org/officeDocument/2006/relationships/hyperlink" Target="Pass\ReturnObjBoolObjAssign.quorum" TargetMode="External"/><Relationship Id="rId36" Type="http://schemas.openxmlformats.org/officeDocument/2006/relationships/hyperlink" Target="Pass\ReturnMeObjObjBooleanAssignField.quorum" TargetMode="External"/><Relationship Id="rId57" Type="http://schemas.openxmlformats.org/officeDocument/2006/relationships/hyperlink" Target="Pass\ReturnVarTextObjAssign.quorum" TargetMode="External"/><Relationship Id="rId106" Type="http://schemas.openxmlformats.org/officeDocument/2006/relationships/hyperlink" Target="Pass\ReturnObjUndefinedSolo.quorum" TargetMode="External"/><Relationship Id="rId127" Type="http://schemas.openxmlformats.org/officeDocument/2006/relationships/hyperlink" Target="Pass\ReturnMeObjTextMeObjSolo.quorum" TargetMode="External"/><Relationship Id="rId10" Type="http://schemas.openxmlformats.org/officeDocument/2006/relationships/hyperlink" Target="Pass\ReturnMeVarBooleanAssign.quorum" TargetMode="External"/><Relationship Id="rId31" Type="http://schemas.openxmlformats.org/officeDocument/2006/relationships/hyperlink" Target="Pass\ReturnMeObjObjBoolMeObjObjSolo.quorum" TargetMode="External"/><Relationship Id="rId52" Type="http://schemas.openxmlformats.org/officeDocument/2006/relationships/hyperlink" Target="Pass\ReturnVarNumberAssignField.quorum" TargetMode="External"/><Relationship Id="rId73" Type="http://schemas.openxmlformats.org/officeDocument/2006/relationships/hyperlink" Target="Pass\ReturnMeVarObjectSolo.quorum" TargetMode="External"/><Relationship Id="rId78" Type="http://schemas.openxmlformats.org/officeDocument/2006/relationships/hyperlink" Target="Pass\ReturnMeVarTextAssignField.quorum" TargetMode="External"/><Relationship Id="rId94" Type="http://schemas.openxmlformats.org/officeDocument/2006/relationships/hyperlink" Target="Pass\ReturnObjNumberSolo.quorum" TargetMode="External"/><Relationship Id="rId99" Type="http://schemas.openxmlformats.org/officeDocument/2006/relationships/hyperlink" Target="Pass\ReturnObjObjectAssignField.quorum" TargetMode="External"/><Relationship Id="rId101" Type="http://schemas.openxmlformats.org/officeDocument/2006/relationships/hyperlink" Target="Pass\ReturnObjTextAssign.quorum" TargetMode="External"/><Relationship Id="rId122" Type="http://schemas.openxmlformats.org/officeDocument/2006/relationships/hyperlink" Target="Pass\ReturnMeObjMeObjectAssign.quorum" TargetMode="External"/><Relationship Id="rId143" Type="http://schemas.openxmlformats.org/officeDocument/2006/relationships/hyperlink" Target="Pass\ReturnObjObjNumberAssign.quorum" TargetMode="External"/><Relationship Id="rId148" Type="http://schemas.openxmlformats.org/officeDocument/2006/relationships/hyperlink" Target="Pass\ReturnObjObjTextSolo.quorum" TargetMode="External"/><Relationship Id="rId164" Type="http://schemas.openxmlformats.org/officeDocument/2006/relationships/hyperlink" Target="Pass\ReturnMeObjObjNumMeObjObjAssign.quorum" TargetMode="External"/><Relationship Id="rId169" Type="http://schemas.openxmlformats.org/officeDocument/2006/relationships/hyperlink" Target="Pass\ReturnMeObjObjObjectSolo.quoru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79"/>
  <sheetViews>
    <sheetView tabSelected="1" zoomScaleNormal="100" zoomScalePageLayoutView="200" workbookViewId="0">
      <pane ySplit="5" topLeftCell="A6" activePane="bottomLeft" state="frozen"/>
      <selection pane="bottomLeft" activeCell="F31" sqref="F31"/>
    </sheetView>
  </sheetViews>
  <sheetFormatPr defaultColWidth="14.42578125" defaultRowHeight="12.95" customHeight="1" x14ac:dyDescent="0.2"/>
  <cols>
    <col min="1" max="1" width="12.7109375" style="3" customWidth="1"/>
    <col min="2" max="2" width="10.140625" style="3" customWidth="1"/>
    <col min="3" max="3" width="4.42578125" style="2" customWidth="1"/>
    <col min="4" max="4" width="34.7109375" style="3" customWidth="1"/>
    <col min="5" max="6" width="34.7109375" style="29" customWidth="1"/>
    <col min="7" max="16384" width="14.42578125" style="3"/>
  </cols>
  <sheetData>
    <row r="1" spans="1:6" ht="18" x14ac:dyDescent="0.25">
      <c r="A1" s="5" t="s">
        <v>24</v>
      </c>
      <c r="B1" s="1"/>
    </row>
    <row r="2" spans="1:6" ht="18" x14ac:dyDescent="0.25">
      <c r="A2" s="5" t="s">
        <v>23</v>
      </c>
      <c r="B2" s="1"/>
    </row>
    <row r="3" spans="1:6" ht="18" x14ac:dyDescent="0.25">
      <c r="A3" s="5"/>
      <c r="B3" s="1"/>
    </row>
    <row r="4" spans="1:6" s="9" customFormat="1" ht="15" x14ac:dyDescent="0.25">
      <c r="A4" s="25"/>
      <c r="B4" s="26"/>
      <c r="C4" s="27"/>
      <c r="D4" s="26"/>
      <c r="E4" s="26"/>
      <c r="F4" s="28"/>
    </row>
    <row r="5" spans="1:6" ht="12.95" customHeight="1" x14ac:dyDescent="0.2">
      <c r="A5" s="21" t="s">
        <v>1</v>
      </c>
      <c r="B5" s="22" t="s">
        <v>0</v>
      </c>
      <c r="C5" s="23" t="s">
        <v>19</v>
      </c>
      <c r="D5" s="23" t="s">
        <v>92</v>
      </c>
      <c r="E5" s="23" t="s">
        <v>153</v>
      </c>
      <c r="F5" s="24" t="s">
        <v>31</v>
      </c>
    </row>
    <row r="6" spans="1:6" s="8" customFormat="1" ht="12.95" customHeight="1" x14ac:dyDescent="0.2">
      <c r="A6" s="16" t="s">
        <v>25</v>
      </c>
      <c r="B6" s="17"/>
      <c r="C6" s="18"/>
      <c r="D6" s="19"/>
      <c r="E6" s="19"/>
      <c r="F6" s="20"/>
    </row>
    <row r="7" spans="1:6" ht="12.95" customHeight="1" x14ac:dyDescent="0.2">
      <c r="A7" s="11"/>
      <c r="B7" s="13" t="s">
        <v>15</v>
      </c>
      <c r="C7" s="15" t="s">
        <v>13</v>
      </c>
      <c r="D7" s="14" t="s">
        <v>93</v>
      </c>
      <c r="E7" s="14" t="s">
        <v>154</v>
      </c>
      <c r="F7" s="14" t="s">
        <v>32</v>
      </c>
    </row>
    <row r="8" spans="1:6" ht="12.95" customHeight="1" x14ac:dyDescent="0.2">
      <c r="A8" s="11"/>
      <c r="B8" s="13" t="s">
        <v>2</v>
      </c>
      <c r="C8" s="15" t="s">
        <v>3</v>
      </c>
      <c r="D8" s="14" t="s">
        <v>94</v>
      </c>
      <c r="E8" s="14" t="s">
        <v>155</v>
      </c>
      <c r="F8" s="14" t="s">
        <v>33</v>
      </c>
    </row>
    <row r="9" spans="1:6" ht="12.95" customHeight="1" x14ac:dyDescent="0.2">
      <c r="A9" s="11"/>
      <c r="B9" s="13" t="s">
        <v>16</v>
      </c>
      <c r="C9" s="15" t="s">
        <v>3</v>
      </c>
      <c r="D9" s="14" t="s">
        <v>95</v>
      </c>
      <c r="E9" s="14" t="s">
        <v>156</v>
      </c>
      <c r="F9" s="14" t="s">
        <v>34</v>
      </c>
    </row>
    <row r="10" spans="1:6" ht="12.95" customHeight="1" x14ac:dyDescent="0.2">
      <c r="A10" s="11"/>
      <c r="B10" s="13" t="s">
        <v>9</v>
      </c>
      <c r="C10" s="15" t="s">
        <v>3</v>
      </c>
      <c r="D10" s="14" t="s">
        <v>96</v>
      </c>
      <c r="E10" s="14" t="s">
        <v>157</v>
      </c>
      <c r="F10" s="14" t="s">
        <v>35</v>
      </c>
    </row>
    <row r="11" spans="1:6" ht="12.95" customHeight="1" x14ac:dyDescent="0.2">
      <c r="A11" s="11"/>
      <c r="B11" s="13" t="s">
        <v>17</v>
      </c>
      <c r="C11" s="15" t="s">
        <v>3</v>
      </c>
      <c r="D11" s="14" t="s">
        <v>97</v>
      </c>
      <c r="E11" s="14" t="s">
        <v>158</v>
      </c>
      <c r="F11" s="14" t="s">
        <v>36</v>
      </c>
    </row>
    <row r="12" spans="1:6" ht="12.95" customHeight="1" x14ac:dyDescent="0.2">
      <c r="A12" s="11"/>
      <c r="B12" s="13" t="s">
        <v>10</v>
      </c>
      <c r="C12" s="15" t="s">
        <v>3</v>
      </c>
      <c r="D12" s="14" t="s">
        <v>98</v>
      </c>
      <c r="E12" s="14" t="s">
        <v>159</v>
      </c>
      <c r="F12" s="14" t="s">
        <v>37</v>
      </c>
    </row>
    <row r="13" spans="1:6" ht="12.95" customHeight="1" x14ac:dyDescent="0.2">
      <c r="A13" s="10"/>
      <c r="B13" s="13" t="s">
        <v>14</v>
      </c>
      <c r="C13" s="15" t="s">
        <v>3</v>
      </c>
      <c r="D13" s="14" t="s">
        <v>99</v>
      </c>
      <c r="E13" s="14" t="s">
        <v>160</v>
      </c>
      <c r="F13" s="14" t="s">
        <v>38</v>
      </c>
    </row>
    <row r="14" spans="1:6" ht="12.95" customHeight="1" x14ac:dyDescent="0.2">
      <c r="A14" s="11"/>
      <c r="B14" s="13" t="s">
        <v>11</v>
      </c>
      <c r="C14" s="15" t="s">
        <v>3</v>
      </c>
      <c r="D14" s="14" t="s">
        <v>100</v>
      </c>
      <c r="E14" s="14" t="s">
        <v>161</v>
      </c>
      <c r="F14" s="14" t="s">
        <v>39</v>
      </c>
    </row>
    <row r="15" spans="1:6" ht="12.95" customHeight="1" x14ac:dyDescent="0.2">
      <c r="A15" s="11"/>
      <c r="B15" s="13" t="s">
        <v>18</v>
      </c>
      <c r="C15" s="15" t="s">
        <v>3</v>
      </c>
      <c r="D15" s="14" t="s">
        <v>101</v>
      </c>
      <c r="E15" s="14" t="s">
        <v>162</v>
      </c>
      <c r="F15" s="14" t="s">
        <v>40</v>
      </c>
    </row>
    <row r="16" spans="1:6" ht="12.95" customHeight="1" x14ac:dyDescent="0.2">
      <c r="A16" s="11"/>
      <c r="B16" s="13" t="s">
        <v>12</v>
      </c>
      <c r="C16" s="15" t="s">
        <v>3</v>
      </c>
      <c r="D16" s="14" t="s">
        <v>102</v>
      </c>
      <c r="E16" s="14" t="s">
        <v>163</v>
      </c>
      <c r="F16" s="14" t="s">
        <v>41</v>
      </c>
    </row>
    <row r="17" spans="1:6" s="8" customFormat="1" ht="12.95" customHeight="1" x14ac:dyDescent="0.2">
      <c r="A17" s="16" t="s">
        <v>28</v>
      </c>
      <c r="B17" s="17"/>
      <c r="C17" s="18"/>
      <c r="D17" s="19"/>
      <c r="E17" s="19"/>
      <c r="F17" s="20"/>
    </row>
    <row r="18" spans="1:6" ht="12.95" customHeight="1" x14ac:dyDescent="0.2">
      <c r="A18" s="11"/>
      <c r="B18" s="13" t="s">
        <v>15</v>
      </c>
      <c r="C18" s="15" t="s">
        <v>3</v>
      </c>
      <c r="D18" s="14" t="s">
        <v>103</v>
      </c>
      <c r="E18" s="14" t="s">
        <v>164</v>
      </c>
      <c r="F18" s="14" t="s">
        <v>42</v>
      </c>
    </row>
    <row r="19" spans="1:6" ht="12.95" customHeight="1" x14ac:dyDescent="0.2">
      <c r="A19" s="11"/>
      <c r="B19" s="13" t="s">
        <v>2</v>
      </c>
      <c r="C19" s="15" t="s">
        <v>3</v>
      </c>
      <c r="D19" s="14" t="s">
        <v>104</v>
      </c>
      <c r="E19" s="14" t="s">
        <v>165</v>
      </c>
      <c r="F19" s="14" t="s">
        <v>43</v>
      </c>
    </row>
    <row r="20" spans="1:6" ht="12.95" customHeight="1" x14ac:dyDescent="0.2">
      <c r="A20" s="11"/>
      <c r="B20" s="13" t="s">
        <v>16</v>
      </c>
      <c r="C20" s="15" t="s">
        <v>3</v>
      </c>
      <c r="D20" s="14" t="s">
        <v>105</v>
      </c>
      <c r="E20" s="14" t="s">
        <v>166</v>
      </c>
      <c r="F20" s="14" t="s">
        <v>44</v>
      </c>
    </row>
    <row r="21" spans="1:6" ht="12.95" customHeight="1" x14ac:dyDescent="0.2">
      <c r="A21" s="11"/>
      <c r="B21" s="13" t="s">
        <v>4</v>
      </c>
      <c r="C21" s="15" t="s">
        <v>3</v>
      </c>
      <c r="D21" s="14" t="s">
        <v>106</v>
      </c>
      <c r="E21" s="14" t="s">
        <v>167</v>
      </c>
      <c r="F21" s="14" t="s">
        <v>45</v>
      </c>
    </row>
    <row r="22" spans="1:6" ht="12.95" customHeight="1" x14ac:dyDescent="0.2">
      <c r="A22" s="11"/>
      <c r="B22" s="13" t="s">
        <v>17</v>
      </c>
      <c r="C22" s="15" t="s">
        <v>3</v>
      </c>
      <c r="D22" s="14" t="s">
        <v>107</v>
      </c>
      <c r="E22" s="14" t="s">
        <v>168</v>
      </c>
      <c r="F22" s="14" t="s">
        <v>46</v>
      </c>
    </row>
    <row r="23" spans="1:6" ht="12.95" customHeight="1" x14ac:dyDescent="0.2">
      <c r="A23" s="11"/>
      <c r="B23" s="13" t="s">
        <v>5</v>
      </c>
      <c r="C23" s="15" t="s">
        <v>3</v>
      </c>
      <c r="D23" s="14" t="s">
        <v>108</v>
      </c>
      <c r="E23" s="14" t="s">
        <v>169</v>
      </c>
      <c r="F23" s="14" t="s">
        <v>47</v>
      </c>
    </row>
    <row r="24" spans="1:6" ht="12.95" customHeight="1" x14ac:dyDescent="0.2">
      <c r="A24" s="10"/>
      <c r="B24" s="13" t="s">
        <v>8</v>
      </c>
      <c r="C24" s="15" t="s">
        <v>3</v>
      </c>
      <c r="D24" s="14" t="s">
        <v>109</v>
      </c>
      <c r="E24" s="14" t="s">
        <v>170</v>
      </c>
      <c r="F24" s="14" t="s">
        <v>48</v>
      </c>
    </row>
    <row r="25" spans="1:6" ht="12.95" customHeight="1" x14ac:dyDescent="0.2">
      <c r="A25" s="11"/>
      <c r="B25" s="13" t="s">
        <v>6</v>
      </c>
      <c r="C25" s="15" t="s">
        <v>3</v>
      </c>
      <c r="D25" s="14" t="s">
        <v>110</v>
      </c>
      <c r="E25" s="14" t="s">
        <v>171</v>
      </c>
      <c r="F25" s="14" t="s">
        <v>49</v>
      </c>
    </row>
    <row r="26" spans="1:6" ht="12.95" customHeight="1" x14ac:dyDescent="0.2">
      <c r="A26" s="11"/>
      <c r="B26" s="13" t="s">
        <v>18</v>
      </c>
      <c r="C26" s="15" t="s">
        <v>3</v>
      </c>
      <c r="D26" s="14" t="s">
        <v>111</v>
      </c>
      <c r="E26" s="14" t="s">
        <v>172</v>
      </c>
      <c r="F26" s="14" t="s">
        <v>50</v>
      </c>
    </row>
    <row r="27" spans="1:6" ht="12.95" customHeight="1" x14ac:dyDescent="0.2">
      <c r="A27" s="11"/>
      <c r="B27" s="13" t="s">
        <v>7</v>
      </c>
      <c r="C27" s="15" t="s">
        <v>3</v>
      </c>
      <c r="D27" s="14" t="s">
        <v>112</v>
      </c>
      <c r="E27" s="14" t="s">
        <v>173</v>
      </c>
      <c r="F27" s="14" t="s">
        <v>51</v>
      </c>
    </row>
    <row r="28" spans="1:6" s="8" customFormat="1" ht="12.95" customHeight="1" x14ac:dyDescent="0.2">
      <c r="A28" s="16" t="s">
        <v>26</v>
      </c>
      <c r="B28" s="17"/>
      <c r="C28" s="18"/>
      <c r="D28" s="19"/>
      <c r="E28" s="19"/>
      <c r="F28" s="20"/>
    </row>
    <row r="29" spans="1:6" ht="12.95" customHeight="1" x14ac:dyDescent="0.2">
      <c r="A29" s="11"/>
      <c r="B29" s="13" t="s">
        <v>15</v>
      </c>
      <c r="C29" s="15" t="s">
        <v>3</v>
      </c>
      <c r="D29" s="14" t="s">
        <v>113</v>
      </c>
      <c r="E29" s="14" t="s">
        <v>174</v>
      </c>
      <c r="F29" s="14" t="s">
        <v>52</v>
      </c>
    </row>
    <row r="30" spans="1:6" s="4" customFormat="1" ht="12.95" customHeight="1" x14ac:dyDescent="0.2">
      <c r="A30" s="12"/>
      <c r="B30" s="13" t="s">
        <v>2</v>
      </c>
      <c r="C30" s="15" t="s">
        <v>3</v>
      </c>
      <c r="D30" s="14" t="s">
        <v>114</v>
      </c>
      <c r="E30" s="14" t="s">
        <v>175</v>
      </c>
      <c r="F30" s="14" t="s">
        <v>53</v>
      </c>
    </row>
    <row r="31" spans="1:6" ht="12.95" customHeight="1" x14ac:dyDescent="0.2">
      <c r="A31" s="11"/>
      <c r="B31" s="13" t="s">
        <v>16</v>
      </c>
      <c r="C31" s="15" t="s">
        <v>3</v>
      </c>
      <c r="D31" s="14" t="s">
        <v>115</v>
      </c>
      <c r="E31" s="14" t="s">
        <v>176</v>
      </c>
      <c r="F31" s="14" t="s">
        <v>54</v>
      </c>
    </row>
    <row r="32" spans="1:6" ht="12.95" customHeight="1" x14ac:dyDescent="0.2">
      <c r="A32" s="11"/>
      <c r="B32" s="13" t="s">
        <v>4</v>
      </c>
      <c r="C32" s="15" t="s">
        <v>3</v>
      </c>
      <c r="D32" s="14" t="s">
        <v>116</v>
      </c>
      <c r="E32" s="14" t="s">
        <v>177</v>
      </c>
      <c r="F32" s="14" t="s">
        <v>55</v>
      </c>
    </row>
    <row r="33" spans="1:6" ht="12.95" customHeight="1" x14ac:dyDescent="0.2">
      <c r="A33" s="11"/>
      <c r="B33" s="13" t="s">
        <v>17</v>
      </c>
      <c r="C33" s="15" t="s">
        <v>3</v>
      </c>
      <c r="D33" s="14" t="s">
        <v>117</v>
      </c>
      <c r="E33" s="14" t="s">
        <v>178</v>
      </c>
      <c r="F33" s="14" t="s">
        <v>56</v>
      </c>
    </row>
    <row r="34" spans="1:6" ht="12.95" customHeight="1" x14ac:dyDescent="0.2">
      <c r="A34" s="11"/>
      <c r="B34" s="13" t="s">
        <v>5</v>
      </c>
      <c r="C34" s="15" t="s">
        <v>3</v>
      </c>
      <c r="D34" s="14" t="s">
        <v>118</v>
      </c>
      <c r="E34" s="14" t="s">
        <v>179</v>
      </c>
      <c r="F34" s="14" t="s">
        <v>57</v>
      </c>
    </row>
    <row r="35" spans="1:6" ht="12.95" customHeight="1" x14ac:dyDescent="0.2">
      <c r="A35" s="11"/>
      <c r="B35" s="13" t="s">
        <v>8</v>
      </c>
      <c r="C35" s="15" t="s">
        <v>3</v>
      </c>
      <c r="D35" s="14" t="s">
        <v>119</v>
      </c>
      <c r="E35" s="14" t="s">
        <v>180</v>
      </c>
      <c r="F35" s="14" t="s">
        <v>58</v>
      </c>
    </row>
    <row r="36" spans="1:6" ht="12.95" customHeight="1" x14ac:dyDescent="0.2">
      <c r="A36" s="11"/>
      <c r="B36" s="13" t="s">
        <v>6</v>
      </c>
      <c r="C36" s="15" t="s">
        <v>3</v>
      </c>
      <c r="D36" s="14" t="s">
        <v>120</v>
      </c>
      <c r="E36" s="14" t="s">
        <v>181</v>
      </c>
      <c r="F36" s="14" t="s">
        <v>59</v>
      </c>
    </row>
    <row r="37" spans="1:6" ht="12.95" customHeight="1" x14ac:dyDescent="0.2">
      <c r="A37" s="11"/>
      <c r="B37" s="13" t="s">
        <v>18</v>
      </c>
      <c r="C37" s="15" t="s">
        <v>3</v>
      </c>
      <c r="D37" s="14" t="s">
        <v>121</v>
      </c>
      <c r="E37" s="14" t="s">
        <v>182</v>
      </c>
      <c r="F37" s="14" t="s">
        <v>60</v>
      </c>
    </row>
    <row r="38" spans="1:6" ht="12.95" customHeight="1" x14ac:dyDescent="0.2">
      <c r="A38" s="11"/>
      <c r="B38" s="13" t="s">
        <v>7</v>
      </c>
      <c r="C38" s="15" t="s">
        <v>3</v>
      </c>
      <c r="D38" s="14" t="s">
        <v>122</v>
      </c>
      <c r="E38" s="14" t="s">
        <v>183</v>
      </c>
      <c r="F38" s="14" t="s">
        <v>61</v>
      </c>
    </row>
    <row r="39" spans="1:6" s="8" customFormat="1" ht="12.95" customHeight="1" x14ac:dyDescent="0.2">
      <c r="A39" s="16" t="s">
        <v>29</v>
      </c>
      <c r="B39" s="17"/>
      <c r="C39" s="18"/>
      <c r="D39" s="19"/>
      <c r="E39" s="19"/>
      <c r="F39" s="20"/>
    </row>
    <row r="40" spans="1:6" ht="12.95" customHeight="1" x14ac:dyDescent="0.2">
      <c r="A40" s="11"/>
      <c r="B40" s="13" t="s">
        <v>15</v>
      </c>
      <c r="C40" s="15" t="s">
        <v>3</v>
      </c>
      <c r="D40" s="14" t="s">
        <v>123</v>
      </c>
      <c r="E40" s="14" t="s">
        <v>184</v>
      </c>
      <c r="F40" s="14" t="s">
        <v>62</v>
      </c>
    </row>
    <row r="41" spans="1:6" s="4" customFormat="1" ht="12.95" customHeight="1" x14ac:dyDescent="0.2">
      <c r="A41" s="12"/>
      <c r="B41" s="13" t="s">
        <v>2</v>
      </c>
      <c r="C41" s="15" t="s">
        <v>3</v>
      </c>
      <c r="D41" s="14" t="s">
        <v>124</v>
      </c>
      <c r="E41" s="14" t="s">
        <v>185</v>
      </c>
      <c r="F41" s="14" t="s">
        <v>63</v>
      </c>
    </row>
    <row r="42" spans="1:6" ht="12.95" customHeight="1" x14ac:dyDescent="0.2">
      <c r="A42" s="11"/>
      <c r="B42" s="13" t="s">
        <v>16</v>
      </c>
      <c r="C42" s="15" t="s">
        <v>3</v>
      </c>
      <c r="D42" s="14" t="s">
        <v>125</v>
      </c>
      <c r="E42" s="14" t="s">
        <v>186</v>
      </c>
      <c r="F42" s="14" t="s">
        <v>64</v>
      </c>
    </row>
    <row r="43" spans="1:6" ht="12.95" customHeight="1" x14ac:dyDescent="0.2">
      <c r="A43" s="11"/>
      <c r="B43" s="13" t="s">
        <v>4</v>
      </c>
      <c r="C43" s="15" t="s">
        <v>3</v>
      </c>
      <c r="D43" s="14" t="s">
        <v>126</v>
      </c>
      <c r="E43" s="14" t="s">
        <v>187</v>
      </c>
      <c r="F43" s="14" t="s">
        <v>65</v>
      </c>
    </row>
    <row r="44" spans="1:6" ht="12.95" customHeight="1" x14ac:dyDescent="0.2">
      <c r="A44" s="11"/>
      <c r="B44" s="13" t="s">
        <v>17</v>
      </c>
      <c r="C44" s="15" t="s">
        <v>3</v>
      </c>
      <c r="D44" s="14" t="s">
        <v>127</v>
      </c>
      <c r="E44" s="14" t="s">
        <v>188</v>
      </c>
      <c r="F44" s="14" t="s">
        <v>66</v>
      </c>
    </row>
    <row r="45" spans="1:6" ht="12.95" customHeight="1" x14ac:dyDescent="0.2">
      <c r="A45" s="11"/>
      <c r="B45" s="13" t="s">
        <v>5</v>
      </c>
      <c r="C45" s="15" t="s">
        <v>3</v>
      </c>
      <c r="D45" s="14" t="s">
        <v>128</v>
      </c>
      <c r="E45" s="14" t="s">
        <v>189</v>
      </c>
      <c r="F45" s="14" t="s">
        <v>67</v>
      </c>
    </row>
    <row r="46" spans="1:6" ht="12.95" customHeight="1" x14ac:dyDescent="0.2">
      <c r="A46" s="11"/>
      <c r="B46" s="13" t="s">
        <v>8</v>
      </c>
      <c r="C46" s="15" t="s">
        <v>3</v>
      </c>
      <c r="D46" s="14" t="s">
        <v>129</v>
      </c>
      <c r="E46" s="14" t="s">
        <v>190</v>
      </c>
      <c r="F46" s="14" t="s">
        <v>68</v>
      </c>
    </row>
    <row r="47" spans="1:6" ht="12.95" customHeight="1" x14ac:dyDescent="0.2">
      <c r="A47" s="11"/>
      <c r="B47" s="13" t="s">
        <v>6</v>
      </c>
      <c r="C47" s="15" t="s">
        <v>3</v>
      </c>
      <c r="D47" s="14" t="s">
        <v>130</v>
      </c>
      <c r="E47" s="14" t="s">
        <v>191</v>
      </c>
      <c r="F47" s="14" t="s">
        <v>69</v>
      </c>
    </row>
    <row r="48" spans="1:6" ht="12.95" customHeight="1" x14ac:dyDescent="0.2">
      <c r="A48" s="11"/>
      <c r="B48" s="13" t="s">
        <v>18</v>
      </c>
      <c r="C48" s="15" t="s">
        <v>3</v>
      </c>
      <c r="D48" s="14" t="s">
        <v>131</v>
      </c>
      <c r="E48" s="14" t="s">
        <v>192</v>
      </c>
      <c r="F48" s="14" t="s">
        <v>70</v>
      </c>
    </row>
    <row r="49" spans="1:6" ht="12.95" customHeight="1" x14ac:dyDescent="0.2">
      <c r="A49" s="11"/>
      <c r="B49" s="13" t="s">
        <v>7</v>
      </c>
      <c r="C49" s="15" t="s">
        <v>3</v>
      </c>
      <c r="D49" s="14" t="s">
        <v>132</v>
      </c>
      <c r="E49" s="14" t="s">
        <v>193</v>
      </c>
      <c r="F49" s="14" t="s">
        <v>71</v>
      </c>
    </row>
    <row r="50" spans="1:6" s="8" customFormat="1" ht="12.95" customHeight="1" x14ac:dyDescent="0.2">
      <c r="A50" s="16" t="s">
        <v>27</v>
      </c>
      <c r="B50" s="17"/>
      <c r="C50" s="18"/>
      <c r="D50" s="19"/>
      <c r="E50" s="19"/>
      <c r="F50" s="20"/>
    </row>
    <row r="51" spans="1:6" ht="12.95" customHeight="1" x14ac:dyDescent="0.2">
      <c r="A51" s="11"/>
      <c r="B51" s="13" t="s">
        <v>15</v>
      </c>
      <c r="C51" s="15" t="s">
        <v>3</v>
      </c>
      <c r="D51" s="14" t="s">
        <v>133</v>
      </c>
      <c r="E51" s="14" t="s">
        <v>194</v>
      </c>
      <c r="F51" s="14" t="s">
        <v>72</v>
      </c>
    </row>
    <row r="52" spans="1:6" ht="12.95" customHeight="1" x14ac:dyDescent="0.2">
      <c r="A52" s="11"/>
      <c r="B52" s="13" t="s">
        <v>2</v>
      </c>
      <c r="C52" s="15" t="s">
        <v>3</v>
      </c>
      <c r="D52" s="14" t="s">
        <v>134</v>
      </c>
      <c r="E52" s="14" t="s">
        <v>195</v>
      </c>
      <c r="F52" s="14" t="s">
        <v>73</v>
      </c>
    </row>
    <row r="53" spans="1:6" ht="12.95" customHeight="1" x14ac:dyDescent="0.2">
      <c r="A53" s="11"/>
      <c r="B53" s="13" t="s">
        <v>16</v>
      </c>
      <c r="C53" s="15" t="s">
        <v>3</v>
      </c>
      <c r="D53" s="14" t="s">
        <v>135</v>
      </c>
      <c r="E53" s="14" t="s">
        <v>196</v>
      </c>
      <c r="F53" s="14" t="s">
        <v>74</v>
      </c>
    </row>
    <row r="54" spans="1:6" ht="12.95" customHeight="1" x14ac:dyDescent="0.2">
      <c r="A54" s="11"/>
      <c r="B54" s="13" t="s">
        <v>4</v>
      </c>
      <c r="C54" s="15" t="s">
        <v>3</v>
      </c>
      <c r="D54" s="14" t="s">
        <v>136</v>
      </c>
      <c r="E54" s="14" t="s">
        <v>197</v>
      </c>
      <c r="F54" s="14" t="s">
        <v>75</v>
      </c>
    </row>
    <row r="55" spans="1:6" ht="12.95" customHeight="1" x14ac:dyDescent="0.2">
      <c r="A55" s="11"/>
      <c r="B55" s="13" t="s">
        <v>17</v>
      </c>
      <c r="C55" s="15" t="s">
        <v>3</v>
      </c>
      <c r="D55" s="14" t="s">
        <v>137</v>
      </c>
      <c r="E55" s="14" t="s">
        <v>198</v>
      </c>
      <c r="F55" s="14" t="s">
        <v>76</v>
      </c>
    </row>
    <row r="56" spans="1:6" ht="12.95" customHeight="1" x14ac:dyDescent="0.2">
      <c r="A56" s="11"/>
      <c r="B56" s="13" t="s">
        <v>5</v>
      </c>
      <c r="C56" s="15" t="s">
        <v>3</v>
      </c>
      <c r="D56" s="14" t="s">
        <v>138</v>
      </c>
      <c r="E56" s="14" t="s">
        <v>199</v>
      </c>
      <c r="F56" s="14" t="s">
        <v>77</v>
      </c>
    </row>
    <row r="57" spans="1:6" ht="12.95" customHeight="1" x14ac:dyDescent="0.2">
      <c r="A57" s="10"/>
      <c r="B57" s="13" t="s">
        <v>8</v>
      </c>
      <c r="C57" s="15" t="s">
        <v>3</v>
      </c>
      <c r="D57" s="14" t="s">
        <v>139</v>
      </c>
      <c r="E57" s="14" t="s">
        <v>200</v>
      </c>
      <c r="F57" s="14" t="s">
        <v>78</v>
      </c>
    </row>
    <row r="58" spans="1:6" ht="12.95" customHeight="1" x14ac:dyDescent="0.2">
      <c r="A58" s="11"/>
      <c r="B58" s="13" t="s">
        <v>6</v>
      </c>
      <c r="C58" s="15" t="s">
        <v>3</v>
      </c>
      <c r="D58" s="14" t="s">
        <v>140</v>
      </c>
      <c r="E58" s="14" t="s">
        <v>201</v>
      </c>
      <c r="F58" s="14" t="s">
        <v>79</v>
      </c>
    </row>
    <row r="59" spans="1:6" ht="12.95" customHeight="1" x14ac:dyDescent="0.2">
      <c r="A59" s="11"/>
      <c r="B59" s="13" t="s">
        <v>18</v>
      </c>
      <c r="C59" s="15" t="s">
        <v>3</v>
      </c>
      <c r="D59" s="14" t="s">
        <v>141</v>
      </c>
      <c r="E59" s="14" t="s">
        <v>202</v>
      </c>
      <c r="F59" s="14" t="s">
        <v>80</v>
      </c>
    </row>
    <row r="60" spans="1:6" ht="12.95" customHeight="1" x14ac:dyDescent="0.2">
      <c r="A60" s="11"/>
      <c r="B60" s="13" t="s">
        <v>7</v>
      </c>
      <c r="C60" s="15" t="s">
        <v>3</v>
      </c>
      <c r="D60" s="14" t="s">
        <v>142</v>
      </c>
      <c r="E60" s="14" t="s">
        <v>203</v>
      </c>
      <c r="F60" s="14" t="s">
        <v>81</v>
      </c>
    </row>
    <row r="61" spans="1:6" s="8" customFormat="1" ht="12.95" customHeight="1" x14ac:dyDescent="0.2">
      <c r="A61" s="16" t="s">
        <v>30</v>
      </c>
      <c r="B61" s="17"/>
      <c r="C61" s="18"/>
      <c r="D61" s="19"/>
      <c r="E61" s="19"/>
      <c r="F61" s="20"/>
    </row>
    <row r="62" spans="1:6" ht="12.95" customHeight="1" x14ac:dyDescent="0.2">
      <c r="A62" s="11"/>
      <c r="B62" s="13" t="s">
        <v>15</v>
      </c>
      <c r="C62" s="15" t="s">
        <v>3</v>
      </c>
      <c r="D62" s="14" t="s">
        <v>143</v>
      </c>
      <c r="E62" s="14" t="s">
        <v>204</v>
      </c>
      <c r="F62" s="14" t="s">
        <v>82</v>
      </c>
    </row>
    <row r="63" spans="1:6" ht="12.95" customHeight="1" x14ac:dyDescent="0.2">
      <c r="A63" s="11"/>
      <c r="B63" s="13" t="s">
        <v>2</v>
      </c>
      <c r="C63" s="15" t="s">
        <v>3</v>
      </c>
      <c r="D63" s="14" t="s">
        <v>144</v>
      </c>
      <c r="E63" s="14" t="s">
        <v>205</v>
      </c>
      <c r="F63" s="14" t="s">
        <v>83</v>
      </c>
    </row>
    <row r="64" spans="1:6" ht="12.95" customHeight="1" x14ac:dyDescent="0.2">
      <c r="A64" s="11"/>
      <c r="B64" s="13" t="s">
        <v>16</v>
      </c>
      <c r="C64" s="15" t="s">
        <v>3</v>
      </c>
      <c r="D64" s="14" t="s">
        <v>145</v>
      </c>
      <c r="E64" s="14" t="s">
        <v>206</v>
      </c>
      <c r="F64" s="14" t="s">
        <v>84</v>
      </c>
    </row>
    <row r="65" spans="1:6" ht="12.95" customHeight="1" x14ac:dyDescent="0.2">
      <c r="A65" s="11"/>
      <c r="B65" s="13" t="s">
        <v>4</v>
      </c>
      <c r="C65" s="15" t="s">
        <v>3</v>
      </c>
      <c r="D65" s="14" t="s">
        <v>146</v>
      </c>
      <c r="E65" s="14" t="s">
        <v>207</v>
      </c>
      <c r="F65" s="14" t="s">
        <v>85</v>
      </c>
    </row>
    <row r="66" spans="1:6" ht="12.95" customHeight="1" x14ac:dyDescent="0.2">
      <c r="A66" s="11"/>
      <c r="B66" s="13" t="s">
        <v>17</v>
      </c>
      <c r="C66" s="15" t="s">
        <v>3</v>
      </c>
      <c r="D66" s="14" t="s">
        <v>147</v>
      </c>
      <c r="E66" s="14" t="s">
        <v>208</v>
      </c>
      <c r="F66" s="14" t="s">
        <v>86</v>
      </c>
    </row>
    <row r="67" spans="1:6" ht="12.95" customHeight="1" x14ac:dyDescent="0.2">
      <c r="A67" s="11"/>
      <c r="B67" s="13" t="s">
        <v>5</v>
      </c>
      <c r="C67" s="15" t="s">
        <v>3</v>
      </c>
      <c r="D67" s="14" t="s">
        <v>148</v>
      </c>
      <c r="E67" s="14" t="s">
        <v>209</v>
      </c>
      <c r="F67" s="14" t="s">
        <v>87</v>
      </c>
    </row>
    <row r="68" spans="1:6" ht="12.95" customHeight="1" x14ac:dyDescent="0.2">
      <c r="A68" s="10"/>
      <c r="B68" s="13" t="s">
        <v>8</v>
      </c>
      <c r="C68" s="15" t="s">
        <v>3</v>
      </c>
      <c r="D68" s="14" t="s">
        <v>149</v>
      </c>
      <c r="E68" s="14" t="s">
        <v>210</v>
      </c>
      <c r="F68" s="14" t="s">
        <v>88</v>
      </c>
    </row>
    <row r="69" spans="1:6" ht="12.95" customHeight="1" x14ac:dyDescent="0.2">
      <c r="A69" s="11"/>
      <c r="B69" s="13" t="s">
        <v>6</v>
      </c>
      <c r="C69" s="15" t="s">
        <v>3</v>
      </c>
      <c r="D69" s="14" t="s">
        <v>150</v>
      </c>
      <c r="E69" s="14" t="s">
        <v>211</v>
      </c>
      <c r="F69" s="14" t="s">
        <v>89</v>
      </c>
    </row>
    <row r="70" spans="1:6" ht="12.95" customHeight="1" x14ac:dyDescent="0.2">
      <c r="A70" s="11"/>
      <c r="B70" s="13" t="s">
        <v>18</v>
      </c>
      <c r="C70" s="15" t="s">
        <v>3</v>
      </c>
      <c r="D70" s="14" t="s">
        <v>151</v>
      </c>
      <c r="E70" s="14" t="s">
        <v>212</v>
      </c>
      <c r="F70" s="14" t="s">
        <v>90</v>
      </c>
    </row>
    <row r="71" spans="1:6" ht="12.95" customHeight="1" x14ac:dyDescent="0.2">
      <c r="A71" s="11"/>
      <c r="B71" s="13" t="s">
        <v>7</v>
      </c>
      <c r="C71" s="15" t="s">
        <v>3</v>
      </c>
      <c r="D71" s="14" t="s">
        <v>152</v>
      </c>
      <c r="E71" s="14" t="s">
        <v>213</v>
      </c>
      <c r="F71" s="14" t="s">
        <v>91</v>
      </c>
    </row>
    <row r="73" spans="1:6" ht="12.95" customHeight="1" x14ac:dyDescent="0.2">
      <c r="A73" s="2">
        <f>COUNTA(A6:A71)</f>
        <v>6</v>
      </c>
      <c r="B73" s="3" t="s">
        <v>20</v>
      </c>
      <c r="C73" s="2">
        <f>SUM(D73:F73)</f>
        <v>180</v>
      </c>
      <c r="D73" s="2">
        <f>COUNTA(C6:C71)</f>
        <v>60</v>
      </c>
      <c r="E73" s="30">
        <f>D73</f>
        <v>60</v>
      </c>
      <c r="F73" s="30">
        <f>E73</f>
        <v>60</v>
      </c>
    </row>
    <row r="74" spans="1:6" ht="12.95" customHeight="1" x14ac:dyDescent="0.2">
      <c r="B74" s="3" t="s">
        <v>21</v>
      </c>
      <c r="C74" s="2">
        <f>SUM(D74:F74)</f>
        <v>0</v>
      </c>
      <c r="D74" s="2">
        <f>COUNTBLANK(C6:C71)-A73</f>
        <v>0</v>
      </c>
      <c r="E74" s="30">
        <f>D74</f>
        <v>0</v>
      </c>
      <c r="F74" s="30">
        <f>E74</f>
        <v>0</v>
      </c>
    </row>
    <row r="75" spans="1:6" ht="12.95" customHeight="1" x14ac:dyDescent="0.2">
      <c r="B75" s="7" t="s">
        <v>22</v>
      </c>
      <c r="C75" s="6">
        <f>SUM(C73:C74)</f>
        <v>180</v>
      </c>
      <c r="D75" s="2">
        <f>COUNTA(D6:D71)</f>
        <v>60</v>
      </c>
      <c r="E75" s="30">
        <f>COUNTA(E6:E71)</f>
        <v>60</v>
      </c>
      <c r="F75" s="30">
        <f>COUNTA(F6:F71)</f>
        <v>60</v>
      </c>
    </row>
    <row r="77" spans="1:6" ht="12.95" customHeight="1" x14ac:dyDescent="0.2">
      <c r="B77" s="3">
        <v>238</v>
      </c>
    </row>
    <row r="78" spans="1:6" ht="12.95" customHeight="1" x14ac:dyDescent="0.2">
      <c r="B78" s="3">
        <v>325</v>
      </c>
    </row>
    <row r="79" spans="1:6" ht="12.95" customHeight="1" x14ac:dyDescent="0.2">
      <c r="B79" s="3">
        <f>B78-B77+1</f>
        <v>88</v>
      </c>
    </row>
  </sheetData>
  <hyperlinks>
    <hyperlink ref="D7" r:id="rId1" display="Pass\ExpAssignBoolObjBoolObj.quorum"/>
    <hyperlink ref="D8" r:id="rId2" display="Pass\ExpAssignBoolObjBoolObj.quorum"/>
    <hyperlink ref="E7" r:id="rId3" display="Pass\ExpAssignBoolObjBoolObj.quorum"/>
    <hyperlink ref="E8" r:id="rId4" display="Pass\ExpAssignBoolObjBoolObj.quorum"/>
    <hyperlink ref="F7" r:id="rId5" display="Pass\ExpAssignBoolObjBoolObj.quorum"/>
    <hyperlink ref="F8" r:id="rId6" display="Pass\ExpAssignBoolObjBoolObj.quorum"/>
    <hyperlink ref="D18" r:id="rId7" display="Pass\ExpAssignBoolObjBoolObj.quorum"/>
    <hyperlink ref="D19" r:id="rId8" display="Pass\ExpAssignBoolObjBoolObj.quorum"/>
    <hyperlink ref="E18" r:id="rId9" display="Pass\ExpAssignBoolObjBoolObj.quorum"/>
    <hyperlink ref="E19" r:id="rId10" display="Pass\ExpAssignBoolObjBoolObj.quorum"/>
    <hyperlink ref="F18" r:id="rId11" display="Pass\ExpAssignBoolObjBoolObj.quorum"/>
    <hyperlink ref="F19" r:id="rId12" display="Pass\ExpAssignBoolObjBoolObj.quorum"/>
    <hyperlink ref="D29" r:id="rId13" display="Pass\ExpAssignBoolObjBoolObj.quorum"/>
    <hyperlink ref="D30" r:id="rId14" display="Pass\ExpAssignBoolObjBoolObj.quorum"/>
    <hyperlink ref="E29" r:id="rId15" display="Pass\ExpAssignBoolObjBoolObj.quorum"/>
    <hyperlink ref="E30" r:id="rId16" display="Pass\ExpAssignBoolObjBoolObj.quorum"/>
    <hyperlink ref="F29" r:id="rId17" display="Pass\ExpAssignBoolObjBoolObj.quorum"/>
    <hyperlink ref="F30" r:id="rId18" display="Pass\ExpAssignBoolObjBoolObj.quorum"/>
    <hyperlink ref="D40" r:id="rId19" display="Pass\ExpAssignBoolObjBoolObj.quorum"/>
    <hyperlink ref="D41" r:id="rId20" display="Pass\ExpAssignBoolObjBoolObj.quorum"/>
    <hyperlink ref="E40" r:id="rId21" display="Pass\ExpAssignBoolObjBoolObj.quorum"/>
    <hyperlink ref="E41" r:id="rId22" display="Pass\ExpAssignBoolObjBoolObj.quorum"/>
    <hyperlink ref="F40" r:id="rId23" display="Pass\ExpAssignBoolObjBoolObj.quorum"/>
    <hyperlink ref="F41" r:id="rId24" display="Pass\ExpAssignBoolObjBoolObj.quorum"/>
    <hyperlink ref="D51" r:id="rId25" display="Pass\ExpAssignBoolObjBoolObj.quorum"/>
    <hyperlink ref="D52" r:id="rId26" display="Pass\ExpAssignBoolObjBoolObj.quorum"/>
    <hyperlink ref="E51" r:id="rId27" display="Pass\ExpAssignBoolObjBoolObj.quorum"/>
    <hyperlink ref="E52" r:id="rId28" display="Pass\ExpAssignBoolObjBoolObj.quorum"/>
    <hyperlink ref="F51" r:id="rId29" display="Pass\ExpAssignBoolObjBoolObj.quorum"/>
    <hyperlink ref="F52" r:id="rId30" display="Pass\ExpAssignBoolObjBoolObj.quorum"/>
    <hyperlink ref="D62" r:id="rId31" display="Pass\ExpAssignBoolObjBoolObj.quorum"/>
    <hyperlink ref="D63" r:id="rId32" display="Pass\ExpAssignBoolObjBoolObj.quorum"/>
    <hyperlink ref="E62" r:id="rId33" display="Pass\ExpAssignBoolObjBoolObj.quorum"/>
    <hyperlink ref="E63" r:id="rId34" display="Pass\ExpAssignBoolObjBoolObj.quorum"/>
    <hyperlink ref="F62" r:id="rId35" display="Pass\ExpAssignBoolObjBoolObj.quorum"/>
    <hyperlink ref="F63" r:id="rId36" display="Pass\ExpAssignBoolObjBoolObj.quorum"/>
    <hyperlink ref="D9" r:id="rId37"/>
    <hyperlink ref="D10" r:id="rId38"/>
    <hyperlink ref="D11" r:id="rId39"/>
    <hyperlink ref="D12" r:id="rId40"/>
    <hyperlink ref="D13" r:id="rId41"/>
    <hyperlink ref="D14" r:id="rId42"/>
    <hyperlink ref="D15" r:id="rId43"/>
    <hyperlink ref="D16" r:id="rId44"/>
    <hyperlink ref="E9" r:id="rId45"/>
    <hyperlink ref="F9" r:id="rId46"/>
    <hyperlink ref="E10" r:id="rId47"/>
    <hyperlink ref="F10" r:id="rId48"/>
    <hyperlink ref="E11" r:id="rId49"/>
    <hyperlink ref="F11" r:id="rId50"/>
    <hyperlink ref="E12" r:id="rId51"/>
    <hyperlink ref="F12" r:id="rId52"/>
    <hyperlink ref="E13" r:id="rId53"/>
    <hyperlink ref="F13" r:id="rId54"/>
    <hyperlink ref="E14" r:id="rId55"/>
    <hyperlink ref="F14" r:id="rId56"/>
    <hyperlink ref="E15" r:id="rId57"/>
    <hyperlink ref="F15" r:id="rId58"/>
    <hyperlink ref="E16" r:id="rId59"/>
    <hyperlink ref="F16" r:id="rId60"/>
    <hyperlink ref="D20" r:id="rId61"/>
    <hyperlink ref="E20" r:id="rId62"/>
    <hyperlink ref="F20" r:id="rId63"/>
    <hyperlink ref="D21" r:id="rId64"/>
    <hyperlink ref="E21" r:id="rId65"/>
    <hyperlink ref="F21" r:id="rId66"/>
    <hyperlink ref="D22" r:id="rId67"/>
    <hyperlink ref="E22" r:id="rId68"/>
    <hyperlink ref="F22" r:id="rId69"/>
    <hyperlink ref="D23" r:id="rId70"/>
    <hyperlink ref="E23" r:id="rId71"/>
    <hyperlink ref="F23" r:id="rId72"/>
    <hyperlink ref="D24" r:id="rId73"/>
    <hyperlink ref="E24" r:id="rId74"/>
    <hyperlink ref="F24" r:id="rId75"/>
    <hyperlink ref="D25" r:id="rId76"/>
    <hyperlink ref="E25" r:id="rId77"/>
    <hyperlink ref="F25" r:id="rId78"/>
    <hyperlink ref="D26" r:id="rId79"/>
    <hyperlink ref="E26" r:id="rId80"/>
    <hyperlink ref="F26" r:id="rId81"/>
    <hyperlink ref="D27" r:id="rId82"/>
    <hyperlink ref="E27" r:id="rId83"/>
    <hyperlink ref="F27" r:id="rId84"/>
    <hyperlink ref="D31" r:id="rId85"/>
    <hyperlink ref="E31" r:id="rId86"/>
    <hyperlink ref="F31" r:id="rId87"/>
    <hyperlink ref="D32" r:id="rId88"/>
    <hyperlink ref="E32" r:id="rId89"/>
    <hyperlink ref="F32" r:id="rId90"/>
    <hyperlink ref="D33" r:id="rId91"/>
    <hyperlink ref="E33" r:id="rId92"/>
    <hyperlink ref="F33" r:id="rId93"/>
    <hyperlink ref="D34" r:id="rId94"/>
    <hyperlink ref="E34" r:id="rId95"/>
    <hyperlink ref="F34" r:id="rId96"/>
    <hyperlink ref="D35" r:id="rId97"/>
    <hyperlink ref="E35" r:id="rId98"/>
    <hyperlink ref="F35" r:id="rId99"/>
    <hyperlink ref="D36" r:id="rId100"/>
    <hyperlink ref="E36" r:id="rId101"/>
    <hyperlink ref="F36" r:id="rId102"/>
    <hyperlink ref="D37" r:id="rId103"/>
    <hyperlink ref="E37" r:id="rId104"/>
    <hyperlink ref="F37" r:id="rId105"/>
    <hyperlink ref="D38" r:id="rId106"/>
    <hyperlink ref="E38" r:id="rId107"/>
    <hyperlink ref="F38" r:id="rId108"/>
    <hyperlink ref="D42" r:id="rId109"/>
    <hyperlink ref="E42" r:id="rId110"/>
    <hyperlink ref="F42" r:id="rId111"/>
    <hyperlink ref="D43" r:id="rId112"/>
    <hyperlink ref="E43" r:id="rId113"/>
    <hyperlink ref="F43" r:id="rId114"/>
    <hyperlink ref="D44" r:id="rId115"/>
    <hyperlink ref="E44" r:id="rId116"/>
    <hyperlink ref="F44" r:id="rId117"/>
    <hyperlink ref="D45" r:id="rId118"/>
    <hyperlink ref="E45" r:id="rId119"/>
    <hyperlink ref="F45" r:id="rId120"/>
    <hyperlink ref="D46" r:id="rId121"/>
    <hyperlink ref="E46" r:id="rId122"/>
    <hyperlink ref="F46" r:id="rId123"/>
    <hyperlink ref="D47" r:id="rId124"/>
    <hyperlink ref="E47" r:id="rId125"/>
    <hyperlink ref="F47" r:id="rId126"/>
    <hyperlink ref="D48" r:id="rId127"/>
    <hyperlink ref="E48" r:id="rId128"/>
    <hyperlink ref="F48" r:id="rId129"/>
    <hyperlink ref="D49" r:id="rId130"/>
    <hyperlink ref="E49" r:id="rId131"/>
    <hyperlink ref="F49" r:id="rId132"/>
    <hyperlink ref="D53" r:id="rId133"/>
    <hyperlink ref="E53" r:id="rId134"/>
    <hyperlink ref="F53" r:id="rId135"/>
    <hyperlink ref="D54" r:id="rId136"/>
    <hyperlink ref="E54" r:id="rId137"/>
    <hyperlink ref="F54" r:id="rId138"/>
    <hyperlink ref="D55" r:id="rId139"/>
    <hyperlink ref="E55" r:id="rId140"/>
    <hyperlink ref="F55" r:id="rId141"/>
    <hyperlink ref="D56" r:id="rId142"/>
    <hyperlink ref="E56" r:id="rId143"/>
    <hyperlink ref="F56" r:id="rId144"/>
    <hyperlink ref="D57" r:id="rId145"/>
    <hyperlink ref="E57" r:id="rId146"/>
    <hyperlink ref="F57" r:id="rId147"/>
    <hyperlink ref="D58" r:id="rId148"/>
    <hyperlink ref="E58" r:id="rId149"/>
    <hyperlink ref="F58" r:id="rId150"/>
    <hyperlink ref="D59" r:id="rId151"/>
    <hyperlink ref="E59" r:id="rId152"/>
    <hyperlink ref="F59" r:id="rId153"/>
    <hyperlink ref="D60" r:id="rId154"/>
    <hyperlink ref="E60" r:id="rId155"/>
    <hyperlink ref="F60" r:id="rId156"/>
    <hyperlink ref="D64" r:id="rId157"/>
    <hyperlink ref="E64" r:id="rId158"/>
    <hyperlink ref="F64" r:id="rId159"/>
    <hyperlink ref="D65" r:id="rId160"/>
    <hyperlink ref="E65" r:id="rId161"/>
    <hyperlink ref="F65" r:id="rId162"/>
    <hyperlink ref="D66" r:id="rId163"/>
    <hyperlink ref="E66" r:id="rId164"/>
    <hyperlink ref="F66" r:id="rId165"/>
    <hyperlink ref="D67" r:id="rId166"/>
    <hyperlink ref="E67" r:id="rId167"/>
    <hyperlink ref="F67" r:id="rId168"/>
    <hyperlink ref="D68" r:id="rId169"/>
    <hyperlink ref="E68" r:id="rId170"/>
    <hyperlink ref="F68" r:id="rId171"/>
    <hyperlink ref="D69" r:id="rId172"/>
    <hyperlink ref="E69" r:id="rId173"/>
    <hyperlink ref="F69" r:id="rId174"/>
    <hyperlink ref="D70" r:id="rId175"/>
    <hyperlink ref="E70" r:id="rId176"/>
    <hyperlink ref="F70" r:id="rId177"/>
    <hyperlink ref="D71" r:id="rId178"/>
    <hyperlink ref="E71" r:id="rId179"/>
    <hyperlink ref="F71" r:id="rId180"/>
  </hyperlinks>
  <pageMargins left="0.7" right="0.7" top="0.75" bottom="0.75" header="0.3" footer="0.3"/>
  <pageSetup orientation="portrait" r:id="rId18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D61"/>
  <sheetViews>
    <sheetView topLeftCell="A19" workbookViewId="0">
      <selection activeCell="G32" sqref="G32"/>
    </sheetView>
  </sheetViews>
  <sheetFormatPr defaultRowHeight="12.75" x14ac:dyDescent="0.2"/>
  <cols>
    <col min="1" max="1" width="16.85546875" bestFit="1" customWidth="1"/>
    <col min="4" max="4" width="21.42578125" bestFit="1" customWidth="1"/>
  </cols>
  <sheetData>
    <row r="2" spans="1:4" x14ac:dyDescent="0.2">
      <c r="A2" t="str">
        <f>'Quorum 3.0'!A$6</f>
        <v>ReturnVar</v>
      </c>
      <c r="B2" t="str">
        <f>'Quorum 3.0'!B7</f>
        <v>BoolObj</v>
      </c>
      <c r="C2" t="str">
        <f>IF('Quorum 3.0'!C7="x", "Pass", "Fail")</f>
        <v>Pass</v>
      </c>
      <c r="D2" t="str">
        <f t="shared" ref="D2:D61" si="0">A2&amp;","&amp;B2&amp;","&amp;C2</f>
        <v>ReturnVar,BoolObj,Pass</v>
      </c>
    </row>
    <row r="3" spans="1:4" x14ac:dyDescent="0.2">
      <c r="A3" t="str">
        <f>'Quorum 3.0'!A$6</f>
        <v>ReturnVar</v>
      </c>
      <c r="B3" t="str">
        <f>'Quorum 3.0'!B8</f>
        <v>boolean</v>
      </c>
      <c r="C3" t="str">
        <f>IF('Quorum 3.0'!C8="x", "Pass", "Fail")</f>
        <v>Pass</v>
      </c>
      <c r="D3" t="str">
        <f t="shared" si="0"/>
        <v>ReturnVar,boolean,Pass</v>
      </c>
    </row>
    <row r="4" spans="1:4" x14ac:dyDescent="0.2">
      <c r="A4" t="str">
        <f>'Quorum 3.0'!A$6</f>
        <v>ReturnVar</v>
      </c>
      <c r="B4" t="str">
        <f>'Quorum 3.0'!B9</f>
        <v>IntObj</v>
      </c>
      <c r="C4" t="str">
        <f>IF('Quorum 3.0'!C9="x", "Pass", "Fail")</f>
        <v>Pass</v>
      </c>
      <c r="D4" t="str">
        <f t="shared" si="0"/>
        <v>ReturnVar,IntObj,Pass</v>
      </c>
    </row>
    <row r="5" spans="1:4" x14ac:dyDescent="0.2">
      <c r="A5" t="str">
        <f>'Quorum 3.0'!A$6</f>
        <v>ReturnVar</v>
      </c>
      <c r="B5" t="str">
        <f>'Quorum 3.0'!B10</f>
        <v>integer</v>
      </c>
      <c r="C5" t="str">
        <f>IF('Quorum 3.0'!C10="x", "Pass", "Fail")</f>
        <v>Pass</v>
      </c>
      <c r="D5" t="str">
        <f t="shared" si="0"/>
        <v>ReturnVar,integer,Pass</v>
      </c>
    </row>
    <row r="6" spans="1:4" x14ac:dyDescent="0.2">
      <c r="A6" t="str">
        <f>'Quorum 3.0'!A$6</f>
        <v>ReturnVar</v>
      </c>
      <c r="B6" t="str">
        <f>'Quorum 3.0'!B11</f>
        <v>NumObj</v>
      </c>
      <c r="C6" t="str">
        <f>IF('Quorum 3.0'!C11="x", "Pass", "Fail")</f>
        <v>Pass</v>
      </c>
      <c r="D6" t="str">
        <f t="shared" si="0"/>
        <v>ReturnVar,NumObj,Pass</v>
      </c>
    </row>
    <row r="7" spans="1:4" x14ac:dyDescent="0.2">
      <c r="A7" t="str">
        <f>'Quorum 3.0'!A$6</f>
        <v>ReturnVar</v>
      </c>
      <c r="B7" t="str">
        <f>'Quorum 3.0'!B12</f>
        <v>number</v>
      </c>
      <c r="C7" t="str">
        <f>IF('Quorum 3.0'!C12="x", "Pass", "Fail")</f>
        <v>Pass</v>
      </c>
      <c r="D7" t="str">
        <f t="shared" si="0"/>
        <v>ReturnVar,number,Pass</v>
      </c>
    </row>
    <row r="8" spans="1:4" x14ac:dyDescent="0.2">
      <c r="A8" t="str">
        <f>'Quorum 3.0'!A$6</f>
        <v>ReturnVar</v>
      </c>
      <c r="B8" t="str">
        <f>'Quorum 3.0'!B13</f>
        <v>Object</v>
      </c>
      <c r="C8" t="str">
        <f>IF('Quorum 3.0'!C13="x", "Pass", "Fail")</f>
        <v>Pass</v>
      </c>
      <c r="D8" t="str">
        <f t="shared" si="0"/>
        <v>ReturnVar,Object,Pass</v>
      </c>
    </row>
    <row r="9" spans="1:4" x14ac:dyDescent="0.2">
      <c r="A9" t="str">
        <f>'Quorum 3.0'!A$6</f>
        <v>ReturnVar</v>
      </c>
      <c r="B9" t="str">
        <f>'Quorum 3.0'!B14</f>
        <v>text</v>
      </c>
      <c r="C9" t="str">
        <f>IF('Quorum 3.0'!C14="x", "Pass", "Fail")</f>
        <v>Pass</v>
      </c>
      <c r="D9" t="str">
        <f t="shared" si="0"/>
        <v>ReturnVar,text,Pass</v>
      </c>
    </row>
    <row r="10" spans="1:4" x14ac:dyDescent="0.2">
      <c r="A10" t="str">
        <f>'Quorum 3.0'!A$6</f>
        <v>ReturnVar</v>
      </c>
      <c r="B10" t="str">
        <f>'Quorum 3.0'!B15</f>
        <v>TextObj</v>
      </c>
      <c r="C10" t="str">
        <f>IF('Quorum 3.0'!C15="x", "Pass", "Fail")</f>
        <v>Pass</v>
      </c>
      <c r="D10" t="str">
        <f t="shared" si="0"/>
        <v>ReturnVar,TextObj,Pass</v>
      </c>
    </row>
    <row r="11" spans="1:4" x14ac:dyDescent="0.2">
      <c r="A11" t="str">
        <f>'Quorum 3.0'!A$6</f>
        <v>ReturnVar</v>
      </c>
      <c r="B11" t="str">
        <f>'Quorum 3.0'!B16</f>
        <v>undefined</v>
      </c>
      <c r="C11" t="str">
        <f>IF('Quorum 3.0'!C16="x", "Pass", "Fail")</f>
        <v>Pass</v>
      </c>
      <c r="D11" t="str">
        <f t="shared" si="0"/>
        <v>ReturnVar,undefined,Pass</v>
      </c>
    </row>
    <row r="12" spans="1:4" x14ac:dyDescent="0.2">
      <c r="A12" t="str">
        <f>'Quorum 3.0'!A$17</f>
        <v>ReturnMeVar</v>
      </c>
      <c r="B12" t="str">
        <f>'Quorum 3.0'!B18</f>
        <v>BoolObj</v>
      </c>
      <c r="C12" t="str">
        <f>IF('Quorum 3.0'!C18="x", "Pass", "Fail")</f>
        <v>Pass</v>
      </c>
      <c r="D12" t="str">
        <f t="shared" si="0"/>
        <v>ReturnMeVar,BoolObj,Pass</v>
      </c>
    </row>
    <row r="13" spans="1:4" x14ac:dyDescent="0.2">
      <c r="A13" t="str">
        <f>'Quorum 3.0'!A$17</f>
        <v>ReturnMeVar</v>
      </c>
      <c r="B13" t="str">
        <f>'Quorum 3.0'!B19</f>
        <v>boolean</v>
      </c>
      <c r="C13" t="str">
        <f>IF('Quorum 3.0'!C19="x", "Pass", "Fail")</f>
        <v>Pass</v>
      </c>
      <c r="D13" t="str">
        <f t="shared" si="0"/>
        <v>ReturnMeVar,boolean,Pass</v>
      </c>
    </row>
    <row r="14" spans="1:4" x14ac:dyDescent="0.2">
      <c r="A14" t="str">
        <f>'Quorum 3.0'!A$17</f>
        <v>ReturnMeVar</v>
      </c>
      <c r="B14" t="str">
        <f>'Quorum 3.0'!B20</f>
        <v>IntObj</v>
      </c>
      <c r="C14" t="str">
        <f>IF('Quorum 3.0'!C20="x", "Pass", "Fail")</f>
        <v>Pass</v>
      </c>
      <c r="D14" t="str">
        <f t="shared" si="0"/>
        <v>ReturnMeVar,IntObj,Pass</v>
      </c>
    </row>
    <row r="15" spans="1:4" x14ac:dyDescent="0.2">
      <c r="A15" t="str">
        <f>'Quorum 3.0'!A$17</f>
        <v>ReturnMeVar</v>
      </c>
      <c r="B15" t="str">
        <f>'Quorum 3.0'!B21</f>
        <v>integer</v>
      </c>
      <c r="C15" t="str">
        <f>IF('Quorum 3.0'!C21="x", "Pass", "Fail")</f>
        <v>Pass</v>
      </c>
      <c r="D15" t="str">
        <f t="shared" si="0"/>
        <v>ReturnMeVar,integer,Pass</v>
      </c>
    </row>
    <row r="16" spans="1:4" x14ac:dyDescent="0.2">
      <c r="A16" t="str">
        <f>'Quorum 3.0'!A$17</f>
        <v>ReturnMeVar</v>
      </c>
      <c r="B16" t="str">
        <f>'Quorum 3.0'!B22</f>
        <v>NumObj</v>
      </c>
      <c r="C16" t="str">
        <f>IF('Quorum 3.0'!C22="x", "Pass", "Fail")</f>
        <v>Pass</v>
      </c>
      <c r="D16" t="str">
        <f t="shared" si="0"/>
        <v>ReturnMeVar,NumObj,Pass</v>
      </c>
    </row>
    <row r="17" spans="1:4" x14ac:dyDescent="0.2">
      <c r="A17" t="str">
        <f>'Quorum 3.0'!A$17</f>
        <v>ReturnMeVar</v>
      </c>
      <c r="B17" t="str">
        <f>'Quorum 3.0'!B23</f>
        <v>number</v>
      </c>
      <c r="C17" t="str">
        <f>IF('Quorum 3.0'!C23="x", "Pass", "Fail")</f>
        <v>Pass</v>
      </c>
      <c r="D17" t="str">
        <f t="shared" si="0"/>
        <v>ReturnMeVar,number,Pass</v>
      </c>
    </row>
    <row r="18" spans="1:4" x14ac:dyDescent="0.2">
      <c r="A18" t="str">
        <f>'Quorum 3.0'!A$17</f>
        <v>ReturnMeVar</v>
      </c>
      <c r="B18" t="str">
        <f>'Quorum 3.0'!B24</f>
        <v>Object</v>
      </c>
      <c r="C18" t="str">
        <f>IF('Quorum 3.0'!C24="x", "Pass", "Fail")</f>
        <v>Pass</v>
      </c>
      <c r="D18" t="str">
        <f t="shared" si="0"/>
        <v>ReturnMeVar,Object,Pass</v>
      </c>
    </row>
    <row r="19" spans="1:4" x14ac:dyDescent="0.2">
      <c r="A19" t="str">
        <f>'Quorum 3.0'!A$17</f>
        <v>ReturnMeVar</v>
      </c>
      <c r="B19" t="str">
        <f>'Quorum 3.0'!B25</f>
        <v>text</v>
      </c>
      <c r="C19" t="str">
        <f>IF('Quorum 3.0'!C25="x", "Pass", "Fail")</f>
        <v>Pass</v>
      </c>
      <c r="D19" t="str">
        <f t="shared" si="0"/>
        <v>ReturnMeVar,text,Pass</v>
      </c>
    </row>
    <row r="20" spans="1:4" x14ac:dyDescent="0.2">
      <c r="A20" t="str">
        <f>'Quorum 3.0'!A$17</f>
        <v>ReturnMeVar</v>
      </c>
      <c r="B20" t="str">
        <f>'Quorum 3.0'!B26</f>
        <v>TextObj</v>
      </c>
      <c r="C20" t="str">
        <f>IF('Quorum 3.0'!C26="x", "Pass", "Fail")</f>
        <v>Pass</v>
      </c>
      <c r="D20" t="str">
        <f t="shared" si="0"/>
        <v>ReturnMeVar,TextObj,Pass</v>
      </c>
    </row>
    <row r="21" spans="1:4" x14ac:dyDescent="0.2">
      <c r="A21" t="str">
        <f>'Quorum 3.0'!A$17</f>
        <v>ReturnMeVar</v>
      </c>
      <c r="B21" t="str">
        <f>'Quorum 3.0'!B27</f>
        <v>undefined</v>
      </c>
      <c r="C21" t="str">
        <f>IF('Quorum 3.0'!C27="x", "Pass", "Fail")</f>
        <v>Pass</v>
      </c>
      <c r="D21" t="str">
        <f t="shared" si="0"/>
        <v>ReturnMeVar,undefined,Pass</v>
      </c>
    </row>
    <row r="22" spans="1:4" x14ac:dyDescent="0.2">
      <c r="A22" t="str">
        <f>'Quorum 3.0'!A$28</f>
        <v>ReturnObj</v>
      </c>
      <c r="B22" t="str">
        <f>'Quorum 3.0'!B29</f>
        <v>BoolObj</v>
      </c>
      <c r="C22" t="str">
        <f>IF('Quorum 3.0'!C29="x", "Pass", "Fail")</f>
        <v>Pass</v>
      </c>
      <c r="D22" t="str">
        <f t="shared" si="0"/>
        <v>ReturnObj,BoolObj,Pass</v>
      </c>
    </row>
    <row r="23" spans="1:4" x14ac:dyDescent="0.2">
      <c r="A23" t="str">
        <f>'Quorum 3.0'!A$28</f>
        <v>ReturnObj</v>
      </c>
      <c r="B23" t="str">
        <f>'Quorum 3.0'!B30</f>
        <v>boolean</v>
      </c>
      <c r="C23" t="str">
        <f>IF('Quorum 3.0'!C30="x", "Pass", "Fail")</f>
        <v>Pass</v>
      </c>
      <c r="D23" t="str">
        <f t="shared" si="0"/>
        <v>ReturnObj,boolean,Pass</v>
      </c>
    </row>
    <row r="24" spans="1:4" x14ac:dyDescent="0.2">
      <c r="A24" t="str">
        <f>'Quorum 3.0'!A$28</f>
        <v>ReturnObj</v>
      </c>
      <c r="B24" t="str">
        <f>'Quorum 3.0'!B31</f>
        <v>IntObj</v>
      </c>
      <c r="C24" t="str">
        <f>IF('Quorum 3.0'!C31="x", "Pass", "Fail")</f>
        <v>Pass</v>
      </c>
      <c r="D24" t="str">
        <f t="shared" si="0"/>
        <v>ReturnObj,IntObj,Pass</v>
      </c>
    </row>
    <row r="25" spans="1:4" x14ac:dyDescent="0.2">
      <c r="A25" t="str">
        <f>'Quorum 3.0'!A$28</f>
        <v>ReturnObj</v>
      </c>
      <c r="B25" t="str">
        <f>'Quorum 3.0'!B32</f>
        <v>integer</v>
      </c>
      <c r="C25" t="str">
        <f>IF('Quorum 3.0'!C32="x", "Pass", "Fail")</f>
        <v>Pass</v>
      </c>
      <c r="D25" t="str">
        <f t="shared" si="0"/>
        <v>ReturnObj,integer,Pass</v>
      </c>
    </row>
    <row r="26" spans="1:4" x14ac:dyDescent="0.2">
      <c r="A26" t="str">
        <f>'Quorum 3.0'!A$28</f>
        <v>ReturnObj</v>
      </c>
      <c r="B26" t="str">
        <f>'Quorum 3.0'!B33</f>
        <v>NumObj</v>
      </c>
      <c r="C26" t="str">
        <f>IF('Quorum 3.0'!C33="x", "Pass", "Fail")</f>
        <v>Pass</v>
      </c>
      <c r="D26" t="str">
        <f t="shared" si="0"/>
        <v>ReturnObj,NumObj,Pass</v>
      </c>
    </row>
    <row r="27" spans="1:4" x14ac:dyDescent="0.2">
      <c r="A27" t="str">
        <f>'Quorum 3.0'!A$28</f>
        <v>ReturnObj</v>
      </c>
      <c r="B27" t="str">
        <f>'Quorum 3.0'!B34</f>
        <v>number</v>
      </c>
      <c r="C27" t="str">
        <f>IF('Quorum 3.0'!C34="x", "Pass", "Fail")</f>
        <v>Pass</v>
      </c>
      <c r="D27" t="str">
        <f t="shared" si="0"/>
        <v>ReturnObj,number,Pass</v>
      </c>
    </row>
    <row r="28" spans="1:4" x14ac:dyDescent="0.2">
      <c r="A28" t="str">
        <f>'Quorum 3.0'!A$28</f>
        <v>ReturnObj</v>
      </c>
      <c r="B28" t="str">
        <f>'Quorum 3.0'!B35</f>
        <v>Object</v>
      </c>
      <c r="C28" t="str">
        <f>IF('Quorum 3.0'!C35="x", "Pass", "Fail")</f>
        <v>Pass</v>
      </c>
      <c r="D28" t="str">
        <f t="shared" si="0"/>
        <v>ReturnObj,Object,Pass</v>
      </c>
    </row>
    <row r="29" spans="1:4" x14ac:dyDescent="0.2">
      <c r="A29" t="str">
        <f>'Quorum 3.0'!A$28</f>
        <v>ReturnObj</v>
      </c>
      <c r="B29" t="str">
        <f>'Quorum 3.0'!B36</f>
        <v>text</v>
      </c>
      <c r="C29" t="str">
        <f>IF('Quorum 3.0'!C36="x", "Pass", "Fail")</f>
        <v>Pass</v>
      </c>
      <c r="D29" t="str">
        <f t="shared" si="0"/>
        <v>ReturnObj,text,Pass</v>
      </c>
    </row>
    <row r="30" spans="1:4" x14ac:dyDescent="0.2">
      <c r="A30" t="str">
        <f>'Quorum 3.0'!A$28</f>
        <v>ReturnObj</v>
      </c>
      <c r="B30" t="str">
        <f>'Quorum 3.0'!B37</f>
        <v>TextObj</v>
      </c>
      <c r="C30" t="str">
        <f>IF('Quorum 3.0'!C37="x", "Pass", "Fail")</f>
        <v>Pass</v>
      </c>
      <c r="D30" t="str">
        <f t="shared" si="0"/>
        <v>ReturnObj,TextObj,Pass</v>
      </c>
    </row>
    <row r="31" spans="1:4" x14ac:dyDescent="0.2">
      <c r="A31" t="str">
        <f>'Quorum 3.0'!A$28</f>
        <v>ReturnObj</v>
      </c>
      <c r="B31" t="str">
        <f>'Quorum 3.0'!B38</f>
        <v>undefined</v>
      </c>
      <c r="C31" t="str">
        <f>IF('Quorum 3.0'!C38="x", "Pass", "Fail")</f>
        <v>Pass</v>
      </c>
      <c r="D31" t="str">
        <f t="shared" si="0"/>
        <v>ReturnObj,undefined,Pass</v>
      </c>
    </row>
    <row r="32" spans="1:4" x14ac:dyDescent="0.2">
      <c r="A32" t="str">
        <f>'Quorum 3.0'!A$39</f>
        <v>ReturnMeObj</v>
      </c>
      <c r="B32" t="str">
        <f>'Quorum 3.0'!B40</f>
        <v>BoolObj</v>
      </c>
      <c r="C32" t="str">
        <f>IF('Quorum 3.0'!C40="x", "Pass", "Fail")</f>
        <v>Pass</v>
      </c>
      <c r="D32" t="str">
        <f t="shared" si="0"/>
        <v>ReturnMeObj,BoolObj,Pass</v>
      </c>
    </row>
    <row r="33" spans="1:4" x14ac:dyDescent="0.2">
      <c r="A33" t="str">
        <f>'Quorum 3.0'!A$39</f>
        <v>ReturnMeObj</v>
      </c>
      <c r="B33" t="str">
        <f>'Quorum 3.0'!B41</f>
        <v>boolean</v>
      </c>
      <c r="C33" t="str">
        <f>IF('Quorum 3.0'!C41="x", "Pass", "Fail")</f>
        <v>Pass</v>
      </c>
      <c r="D33" t="str">
        <f t="shared" si="0"/>
        <v>ReturnMeObj,boolean,Pass</v>
      </c>
    </row>
    <row r="34" spans="1:4" x14ac:dyDescent="0.2">
      <c r="A34" t="str">
        <f>'Quorum 3.0'!A$39</f>
        <v>ReturnMeObj</v>
      </c>
      <c r="B34" t="str">
        <f>'Quorum 3.0'!B42</f>
        <v>IntObj</v>
      </c>
      <c r="C34" t="str">
        <f>IF('Quorum 3.0'!C42="x", "Pass", "Fail")</f>
        <v>Pass</v>
      </c>
      <c r="D34" t="str">
        <f t="shared" si="0"/>
        <v>ReturnMeObj,IntObj,Pass</v>
      </c>
    </row>
    <row r="35" spans="1:4" x14ac:dyDescent="0.2">
      <c r="A35" t="str">
        <f>'Quorum 3.0'!A$39</f>
        <v>ReturnMeObj</v>
      </c>
      <c r="B35" t="str">
        <f>'Quorum 3.0'!B43</f>
        <v>integer</v>
      </c>
      <c r="C35" t="str">
        <f>IF('Quorum 3.0'!C43="x", "Pass", "Fail")</f>
        <v>Pass</v>
      </c>
      <c r="D35" t="str">
        <f t="shared" si="0"/>
        <v>ReturnMeObj,integer,Pass</v>
      </c>
    </row>
    <row r="36" spans="1:4" x14ac:dyDescent="0.2">
      <c r="A36" t="str">
        <f>'Quorum 3.0'!A$39</f>
        <v>ReturnMeObj</v>
      </c>
      <c r="B36" t="str">
        <f>'Quorum 3.0'!B44</f>
        <v>NumObj</v>
      </c>
      <c r="C36" t="str">
        <f>IF('Quorum 3.0'!C44="x", "Pass", "Fail")</f>
        <v>Pass</v>
      </c>
      <c r="D36" t="str">
        <f t="shared" si="0"/>
        <v>ReturnMeObj,NumObj,Pass</v>
      </c>
    </row>
    <row r="37" spans="1:4" x14ac:dyDescent="0.2">
      <c r="A37" t="str">
        <f>'Quorum 3.0'!A$39</f>
        <v>ReturnMeObj</v>
      </c>
      <c r="B37" t="str">
        <f>'Quorum 3.0'!B45</f>
        <v>number</v>
      </c>
      <c r="C37" t="str">
        <f>IF('Quorum 3.0'!C45="x", "Pass", "Fail")</f>
        <v>Pass</v>
      </c>
      <c r="D37" t="str">
        <f t="shared" si="0"/>
        <v>ReturnMeObj,number,Pass</v>
      </c>
    </row>
    <row r="38" spans="1:4" x14ac:dyDescent="0.2">
      <c r="A38" t="str">
        <f>'Quorum 3.0'!A$39</f>
        <v>ReturnMeObj</v>
      </c>
      <c r="B38" t="str">
        <f>'Quorum 3.0'!B46</f>
        <v>Object</v>
      </c>
      <c r="C38" t="str">
        <f>IF('Quorum 3.0'!C46="x", "Pass", "Fail")</f>
        <v>Pass</v>
      </c>
      <c r="D38" t="str">
        <f t="shared" si="0"/>
        <v>ReturnMeObj,Object,Pass</v>
      </c>
    </row>
    <row r="39" spans="1:4" x14ac:dyDescent="0.2">
      <c r="A39" t="str">
        <f>'Quorum 3.0'!A$39</f>
        <v>ReturnMeObj</v>
      </c>
      <c r="B39" t="str">
        <f>'Quorum 3.0'!B47</f>
        <v>text</v>
      </c>
      <c r="C39" t="str">
        <f>IF('Quorum 3.0'!C47="x", "Pass", "Fail")</f>
        <v>Pass</v>
      </c>
      <c r="D39" t="str">
        <f t="shared" si="0"/>
        <v>ReturnMeObj,text,Pass</v>
      </c>
    </row>
    <row r="40" spans="1:4" x14ac:dyDescent="0.2">
      <c r="A40" t="str">
        <f>'Quorum 3.0'!A$39</f>
        <v>ReturnMeObj</v>
      </c>
      <c r="B40" t="str">
        <f>'Quorum 3.0'!B48</f>
        <v>TextObj</v>
      </c>
      <c r="C40" t="str">
        <f>IF('Quorum 3.0'!C48="x", "Pass", "Fail")</f>
        <v>Pass</v>
      </c>
      <c r="D40" t="str">
        <f t="shared" si="0"/>
        <v>ReturnMeObj,TextObj,Pass</v>
      </c>
    </row>
    <row r="41" spans="1:4" x14ac:dyDescent="0.2">
      <c r="A41" t="str">
        <f>'Quorum 3.0'!A$39</f>
        <v>ReturnMeObj</v>
      </c>
      <c r="B41" t="str">
        <f>'Quorum 3.0'!B49</f>
        <v>undefined</v>
      </c>
      <c r="C41" t="str">
        <f>IF('Quorum 3.0'!C49="x", "Pass", "Fail")</f>
        <v>Pass</v>
      </c>
      <c r="D41" t="str">
        <f t="shared" si="0"/>
        <v>ReturnMeObj,undefined,Pass</v>
      </c>
    </row>
    <row r="42" spans="1:4" x14ac:dyDescent="0.2">
      <c r="A42" t="str">
        <f>'Quorum 3.0'!A$50</f>
        <v>ReturnObjObj</v>
      </c>
      <c r="B42" t="str">
        <f>'Quorum 3.0'!B51</f>
        <v>BoolObj</v>
      </c>
      <c r="C42" t="str">
        <f>IF('Quorum 3.0'!C51="x", "Pass", "Fail")</f>
        <v>Pass</v>
      </c>
      <c r="D42" t="str">
        <f t="shared" si="0"/>
        <v>ReturnObjObj,BoolObj,Pass</v>
      </c>
    </row>
    <row r="43" spans="1:4" x14ac:dyDescent="0.2">
      <c r="A43" t="str">
        <f>'Quorum 3.0'!A$50</f>
        <v>ReturnObjObj</v>
      </c>
      <c r="B43" t="str">
        <f>'Quorum 3.0'!B52</f>
        <v>boolean</v>
      </c>
      <c r="C43" t="str">
        <f>IF('Quorum 3.0'!C52="x", "Pass", "Fail")</f>
        <v>Pass</v>
      </c>
      <c r="D43" t="str">
        <f t="shared" si="0"/>
        <v>ReturnObjObj,boolean,Pass</v>
      </c>
    </row>
    <row r="44" spans="1:4" x14ac:dyDescent="0.2">
      <c r="A44" t="str">
        <f>'Quorum 3.0'!A$50</f>
        <v>ReturnObjObj</v>
      </c>
      <c r="B44" t="str">
        <f>'Quorum 3.0'!B53</f>
        <v>IntObj</v>
      </c>
      <c r="C44" t="str">
        <f>IF('Quorum 3.0'!C53="x", "Pass", "Fail")</f>
        <v>Pass</v>
      </c>
      <c r="D44" t="str">
        <f t="shared" si="0"/>
        <v>ReturnObjObj,IntObj,Pass</v>
      </c>
    </row>
    <row r="45" spans="1:4" x14ac:dyDescent="0.2">
      <c r="A45" t="str">
        <f>'Quorum 3.0'!A$50</f>
        <v>ReturnObjObj</v>
      </c>
      <c r="B45" t="str">
        <f>'Quorum 3.0'!B54</f>
        <v>integer</v>
      </c>
      <c r="C45" t="str">
        <f>IF('Quorum 3.0'!C54="x", "Pass", "Fail")</f>
        <v>Pass</v>
      </c>
      <c r="D45" t="str">
        <f t="shared" si="0"/>
        <v>ReturnObjObj,integer,Pass</v>
      </c>
    </row>
    <row r="46" spans="1:4" x14ac:dyDescent="0.2">
      <c r="A46" t="str">
        <f>'Quorum 3.0'!A$50</f>
        <v>ReturnObjObj</v>
      </c>
      <c r="B46" t="str">
        <f>'Quorum 3.0'!B55</f>
        <v>NumObj</v>
      </c>
      <c r="C46" t="str">
        <f>IF('Quorum 3.0'!C55="x", "Pass", "Fail")</f>
        <v>Pass</v>
      </c>
      <c r="D46" t="str">
        <f t="shared" si="0"/>
        <v>ReturnObjObj,NumObj,Pass</v>
      </c>
    </row>
    <row r="47" spans="1:4" x14ac:dyDescent="0.2">
      <c r="A47" t="str">
        <f>'Quorum 3.0'!A$50</f>
        <v>ReturnObjObj</v>
      </c>
      <c r="B47" t="str">
        <f>'Quorum 3.0'!B56</f>
        <v>number</v>
      </c>
      <c r="C47" t="str">
        <f>IF('Quorum 3.0'!C56="x", "Pass", "Fail")</f>
        <v>Pass</v>
      </c>
      <c r="D47" t="str">
        <f t="shared" si="0"/>
        <v>ReturnObjObj,number,Pass</v>
      </c>
    </row>
    <row r="48" spans="1:4" x14ac:dyDescent="0.2">
      <c r="A48" t="str">
        <f>'Quorum 3.0'!A$50</f>
        <v>ReturnObjObj</v>
      </c>
      <c r="B48" t="str">
        <f>'Quorum 3.0'!B57</f>
        <v>Object</v>
      </c>
      <c r="C48" t="str">
        <f>IF('Quorum 3.0'!C57="x", "Pass", "Fail")</f>
        <v>Pass</v>
      </c>
      <c r="D48" t="str">
        <f t="shared" si="0"/>
        <v>ReturnObjObj,Object,Pass</v>
      </c>
    </row>
    <row r="49" spans="1:4" x14ac:dyDescent="0.2">
      <c r="A49" t="str">
        <f>'Quorum 3.0'!A$50</f>
        <v>ReturnObjObj</v>
      </c>
      <c r="B49" t="str">
        <f>'Quorum 3.0'!B58</f>
        <v>text</v>
      </c>
      <c r="C49" t="str">
        <f>IF('Quorum 3.0'!C58="x", "Pass", "Fail")</f>
        <v>Pass</v>
      </c>
      <c r="D49" t="str">
        <f t="shared" si="0"/>
        <v>ReturnObjObj,text,Pass</v>
      </c>
    </row>
    <row r="50" spans="1:4" x14ac:dyDescent="0.2">
      <c r="A50" t="str">
        <f>'Quorum 3.0'!A$50</f>
        <v>ReturnObjObj</v>
      </c>
      <c r="B50" t="str">
        <f>'Quorum 3.0'!B59</f>
        <v>TextObj</v>
      </c>
      <c r="C50" t="str">
        <f>IF('Quorum 3.0'!C59="x", "Pass", "Fail")</f>
        <v>Pass</v>
      </c>
      <c r="D50" t="str">
        <f t="shared" si="0"/>
        <v>ReturnObjObj,TextObj,Pass</v>
      </c>
    </row>
    <row r="51" spans="1:4" x14ac:dyDescent="0.2">
      <c r="A51" t="str">
        <f>'Quorum 3.0'!A$50</f>
        <v>ReturnObjObj</v>
      </c>
      <c r="B51" t="str">
        <f>'Quorum 3.0'!B60</f>
        <v>undefined</v>
      </c>
      <c r="C51" t="str">
        <f>IF('Quorum 3.0'!C60="x", "Pass", "Fail")</f>
        <v>Pass</v>
      </c>
      <c r="D51" t="str">
        <f t="shared" si="0"/>
        <v>ReturnObjObj,undefined,Pass</v>
      </c>
    </row>
    <row r="52" spans="1:4" x14ac:dyDescent="0.2">
      <c r="A52" t="str">
        <f>'Quorum 3.0'!A$61</f>
        <v>ReturnMeObjObj</v>
      </c>
      <c r="B52" t="str">
        <f>'Quorum 3.0'!B62</f>
        <v>BoolObj</v>
      </c>
      <c r="C52" t="str">
        <f>IF('Quorum 3.0'!C62="x", "Pass", "Fail")</f>
        <v>Pass</v>
      </c>
      <c r="D52" t="str">
        <f t="shared" si="0"/>
        <v>ReturnMeObjObj,BoolObj,Pass</v>
      </c>
    </row>
    <row r="53" spans="1:4" x14ac:dyDescent="0.2">
      <c r="A53" t="str">
        <f>'Quorum 3.0'!A$61</f>
        <v>ReturnMeObjObj</v>
      </c>
      <c r="B53" t="str">
        <f>'Quorum 3.0'!B63</f>
        <v>boolean</v>
      </c>
      <c r="C53" t="str">
        <f>IF('Quorum 3.0'!C63="x", "Pass", "Fail")</f>
        <v>Pass</v>
      </c>
      <c r="D53" t="str">
        <f t="shared" si="0"/>
        <v>ReturnMeObjObj,boolean,Pass</v>
      </c>
    </row>
    <row r="54" spans="1:4" x14ac:dyDescent="0.2">
      <c r="A54" t="str">
        <f>'Quorum 3.0'!A$61</f>
        <v>ReturnMeObjObj</v>
      </c>
      <c r="B54" t="str">
        <f>'Quorum 3.0'!B64</f>
        <v>IntObj</v>
      </c>
      <c r="C54" t="str">
        <f>IF('Quorum 3.0'!C64="x", "Pass", "Fail")</f>
        <v>Pass</v>
      </c>
      <c r="D54" t="str">
        <f t="shared" si="0"/>
        <v>ReturnMeObjObj,IntObj,Pass</v>
      </c>
    </row>
    <row r="55" spans="1:4" x14ac:dyDescent="0.2">
      <c r="A55" t="str">
        <f>'Quorum 3.0'!A$61</f>
        <v>ReturnMeObjObj</v>
      </c>
      <c r="B55" t="str">
        <f>'Quorum 3.0'!B65</f>
        <v>integer</v>
      </c>
      <c r="C55" t="str">
        <f>IF('Quorum 3.0'!C65="x", "Pass", "Fail")</f>
        <v>Pass</v>
      </c>
      <c r="D55" t="str">
        <f t="shared" si="0"/>
        <v>ReturnMeObjObj,integer,Pass</v>
      </c>
    </row>
    <row r="56" spans="1:4" x14ac:dyDescent="0.2">
      <c r="A56" t="str">
        <f>'Quorum 3.0'!A$61</f>
        <v>ReturnMeObjObj</v>
      </c>
      <c r="B56" t="str">
        <f>'Quorum 3.0'!B66</f>
        <v>NumObj</v>
      </c>
      <c r="C56" t="str">
        <f>IF('Quorum 3.0'!C66="x", "Pass", "Fail")</f>
        <v>Pass</v>
      </c>
      <c r="D56" t="str">
        <f t="shared" si="0"/>
        <v>ReturnMeObjObj,NumObj,Pass</v>
      </c>
    </row>
    <row r="57" spans="1:4" x14ac:dyDescent="0.2">
      <c r="A57" t="str">
        <f>'Quorum 3.0'!A$61</f>
        <v>ReturnMeObjObj</v>
      </c>
      <c r="B57" t="str">
        <f>'Quorum 3.0'!B67</f>
        <v>number</v>
      </c>
      <c r="C57" t="str">
        <f>IF('Quorum 3.0'!C67="x", "Pass", "Fail")</f>
        <v>Pass</v>
      </c>
      <c r="D57" t="str">
        <f t="shared" si="0"/>
        <v>ReturnMeObjObj,number,Pass</v>
      </c>
    </row>
    <row r="58" spans="1:4" x14ac:dyDescent="0.2">
      <c r="A58" t="str">
        <f>'Quorum 3.0'!A$61</f>
        <v>ReturnMeObjObj</v>
      </c>
      <c r="B58" t="str">
        <f>'Quorum 3.0'!B68</f>
        <v>Object</v>
      </c>
      <c r="C58" t="str">
        <f>IF('Quorum 3.0'!C68="x", "Pass", "Fail")</f>
        <v>Pass</v>
      </c>
      <c r="D58" t="str">
        <f t="shared" si="0"/>
        <v>ReturnMeObjObj,Object,Pass</v>
      </c>
    </row>
    <row r="59" spans="1:4" x14ac:dyDescent="0.2">
      <c r="A59" t="str">
        <f>'Quorum 3.0'!A$61</f>
        <v>ReturnMeObjObj</v>
      </c>
      <c r="B59" t="str">
        <f>'Quorum 3.0'!B69</f>
        <v>text</v>
      </c>
      <c r="C59" t="str">
        <f>IF('Quorum 3.0'!C69="x", "Pass", "Fail")</f>
        <v>Pass</v>
      </c>
      <c r="D59" t="str">
        <f t="shared" si="0"/>
        <v>ReturnMeObjObj,text,Pass</v>
      </c>
    </row>
    <row r="60" spans="1:4" x14ac:dyDescent="0.2">
      <c r="A60" t="str">
        <f>'Quorum 3.0'!A$61</f>
        <v>ReturnMeObjObj</v>
      </c>
      <c r="B60" t="str">
        <f>'Quorum 3.0'!B70</f>
        <v>TextObj</v>
      </c>
      <c r="C60" t="str">
        <f>IF('Quorum 3.0'!C70="x", "Pass", "Fail")</f>
        <v>Pass</v>
      </c>
      <c r="D60" t="str">
        <f t="shared" si="0"/>
        <v>ReturnMeObjObj,TextObj,Pass</v>
      </c>
    </row>
    <row r="61" spans="1:4" x14ac:dyDescent="0.2">
      <c r="A61" t="str">
        <f>'Quorum 3.0'!A$61</f>
        <v>ReturnMeObjObj</v>
      </c>
      <c r="B61" t="str">
        <f>'Quorum 3.0'!B71</f>
        <v>undefined</v>
      </c>
      <c r="C61" t="str">
        <f>IF('Quorum 3.0'!C71="x", "Pass", "Fail")</f>
        <v>Pass</v>
      </c>
      <c r="D61" t="str">
        <f t="shared" si="0"/>
        <v>ReturnMeObjObj,undefined,Pass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Quorum 3.0</vt:lpstr>
      <vt:lpstr>tests.txt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Daleiden</dc:creator>
  <cp:lastModifiedBy>Microsoft Office</cp:lastModifiedBy>
  <dcterms:created xsi:type="dcterms:W3CDTF">2015-01-07T20:05:46Z</dcterms:created>
  <dcterms:modified xsi:type="dcterms:W3CDTF">2015-02-07T22:22:54Z</dcterms:modified>
</cp:coreProperties>
</file>