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645" yWindow="600" windowWidth="29580" windowHeight="16440"/>
  </bookViews>
  <sheets>
    <sheet name="Quorum 3.0" sheetId="1" r:id="rId1"/>
    <sheet name="tests.txt" sheetId="3" r:id="rId2"/>
  </sheet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0" i="3" l="1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11" i="3"/>
  <c r="A12" i="3"/>
  <c r="A13" i="3"/>
  <c r="A14" i="3"/>
  <c r="A15" i="3"/>
  <c r="A16" i="3"/>
  <c r="A17" i="3"/>
  <c r="A18" i="3"/>
  <c r="A19" i="3"/>
  <c r="A20" i="3"/>
  <c r="A59" i="3"/>
  <c r="A40" i="3"/>
  <c r="A21" i="3"/>
  <c r="A3" i="3"/>
  <c r="A4" i="3"/>
  <c r="A5" i="3"/>
  <c r="A6" i="3"/>
  <c r="A7" i="3"/>
  <c r="A8" i="3"/>
  <c r="A9" i="3"/>
  <c r="A10" i="3"/>
  <c r="A2" i="3"/>
  <c r="B3" i="3"/>
  <c r="C3" i="3"/>
  <c r="D3" i="3"/>
  <c r="E3" i="3"/>
  <c r="F3" i="3"/>
  <c r="G3" i="3"/>
  <c r="B4" i="3"/>
  <c r="C4" i="3"/>
  <c r="D4" i="3"/>
  <c r="E4" i="3"/>
  <c r="F4" i="3"/>
  <c r="G4" i="3"/>
  <c r="B5" i="3"/>
  <c r="C5" i="3"/>
  <c r="D5" i="3"/>
  <c r="E5" i="3"/>
  <c r="F5" i="3"/>
  <c r="G5" i="3"/>
  <c r="B6" i="3"/>
  <c r="C6" i="3"/>
  <c r="D6" i="3"/>
  <c r="E6" i="3"/>
  <c r="F6" i="3"/>
  <c r="G6" i="3"/>
  <c r="B7" i="3"/>
  <c r="C7" i="3"/>
  <c r="D7" i="3"/>
  <c r="E7" i="3"/>
  <c r="F7" i="3"/>
  <c r="G7" i="3"/>
  <c r="B8" i="3"/>
  <c r="C8" i="3"/>
  <c r="D8" i="3"/>
  <c r="E8" i="3"/>
  <c r="F8" i="3"/>
  <c r="G8" i="3"/>
  <c r="B9" i="3"/>
  <c r="C9" i="3"/>
  <c r="D9" i="3"/>
  <c r="E9" i="3"/>
  <c r="F9" i="3"/>
  <c r="G9" i="3"/>
  <c r="B10" i="3"/>
  <c r="C10" i="3"/>
  <c r="D10" i="3"/>
  <c r="E10" i="3"/>
  <c r="F10" i="3"/>
  <c r="G10" i="3"/>
  <c r="B11" i="3"/>
  <c r="C11" i="3"/>
  <c r="D11" i="3"/>
  <c r="E11" i="3"/>
  <c r="F11" i="3"/>
  <c r="G11" i="3"/>
  <c r="B12" i="3"/>
  <c r="C12" i="3"/>
  <c r="D12" i="3"/>
  <c r="E12" i="3"/>
  <c r="F12" i="3"/>
  <c r="G12" i="3"/>
  <c r="B13" i="3"/>
  <c r="C13" i="3"/>
  <c r="D13" i="3"/>
  <c r="E13" i="3"/>
  <c r="F13" i="3"/>
  <c r="G13" i="3"/>
  <c r="B14" i="3"/>
  <c r="C14" i="3"/>
  <c r="D14" i="3"/>
  <c r="E14" i="3"/>
  <c r="F14" i="3"/>
  <c r="G14" i="3"/>
  <c r="B15" i="3"/>
  <c r="C15" i="3"/>
  <c r="D15" i="3"/>
  <c r="E15" i="3"/>
  <c r="F15" i="3"/>
  <c r="G15" i="3"/>
  <c r="B16" i="3"/>
  <c r="C16" i="3"/>
  <c r="D16" i="3"/>
  <c r="E16" i="3"/>
  <c r="F16" i="3"/>
  <c r="G16" i="3"/>
  <c r="B17" i="3"/>
  <c r="C17" i="3"/>
  <c r="D17" i="3"/>
  <c r="E17" i="3"/>
  <c r="F17" i="3"/>
  <c r="G17" i="3"/>
  <c r="B18" i="3"/>
  <c r="C18" i="3"/>
  <c r="D18" i="3"/>
  <c r="E18" i="3"/>
  <c r="F18" i="3"/>
  <c r="G18" i="3"/>
  <c r="B19" i="3"/>
  <c r="C19" i="3"/>
  <c r="D19" i="3"/>
  <c r="E19" i="3"/>
  <c r="F19" i="3"/>
  <c r="G19" i="3"/>
  <c r="B20" i="3"/>
  <c r="C20" i="3"/>
  <c r="D20" i="3"/>
  <c r="E20" i="3"/>
  <c r="F20" i="3"/>
  <c r="G20" i="3"/>
  <c r="B21" i="3"/>
  <c r="C21" i="3"/>
  <c r="D21" i="3"/>
  <c r="E21" i="3"/>
  <c r="F21" i="3"/>
  <c r="G21" i="3"/>
  <c r="B22" i="3"/>
  <c r="C22" i="3"/>
  <c r="D22" i="3"/>
  <c r="E22" i="3"/>
  <c r="F22" i="3"/>
  <c r="G22" i="3"/>
  <c r="B23" i="3"/>
  <c r="C23" i="3"/>
  <c r="D23" i="3"/>
  <c r="E23" i="3"/>
  <c r="F23" i="3"/>
  <c r="G23" i="3"/>
  <c r="B24" i="3"/>
  <c r="C24" i="3"/>
  <c r="D24" i="3"/>
  <c r="E24" i="3"/>
  <c r="F24" i="3"/>
  <c r="G24" i="3"/>
  <c r="B25" i="3"/>
  <c r="C25" i="3"/>
  <c r="D25" i="3"/>
  <c r="E25" i="3"/>
  <c r="F25" i="3"/>
  <c r="G25" i="3"/>
  <c r="B26" i="3"/>
  <c r="C26" i="3"/>
  <c r="D26" i="3"/>
  <c r="E26" i="3"/>
  <c r="F26" i="3"/>
  <c r="G26" i="3"/>
  <c r="B27" i="3"/>
  <c r="C27" i="3"/>
  <c r="D27" i="3"/>
  <c r="E27" i="3"/>
  <c r="F27" i="3"/>
  <c r="G27" i="3"/>
  <c r="B28" i="3"/>
  <c r="C28" i="3"/>
  <c r="D28" i="3"/>
  <c r="E28" i="3"/>
  <c r="F28" i="3"/>
  <c r="G28" i="3"/>
  <c r="B29" i="3"/>
  <c r="C29" i="3"/>
  <c r="D29" i="3"/>
  <c r="E29" i="3"/>
  <c r="F29" i="3"/>
  <c r="G29" i="3"/>
  <c r="B30" i="3"/>
  <c r="C30" i="3"/>
  <c r="D30" i="3"/>
  <c r="E30" i="3"/>
  <c r="F30" i="3"/>
  <c r="G30" i="3"/>
  <c r="B31" i="3"/>
  <c r="C31" i="3"/>
  <c r="D31" i="3"/>
  <c r="E31" i="3"/>
  <c r="F31" i="3"/>
  <c r="G31" i="3"/>
  <c r="B32" i="3"/>
  <c r="C32" i="3"/>
  <c r="D32" i="3"/>
  <c r="E32" i="3"/>
  <c r="F32" i="3"/>
  <c r="G32" i="3"/>
  <c r="B33" i="3"/>
  <c r="C33" i="3"/>
  <c r="D33" i="3"/>
  <c r="E33" i="3"/>
  <c r="F33" i="3"/>
  <c r="G33" i="3"/>
  <c r="B34" i="3"/>
  <c r="C34" i="3"/>
  <c r="D34" i="3"/>
  <c r="E34" i="3"/>
  <c r="F34" i="3"/>
  <c r="G34" i="3"/>
  <c r="B35" i="3"/>
  <c r="C35" i="3"/>
  <c r="D35" i="3"/>
  <c r="E35" i="3"/>
  <c r="F35" i="3"/>
  <c r="G35" i="3"/>
  <c r="B36" i="3"/>
  <c r="C36" i="3"/>
  <c r="D36" i="3"/>
  <c r="E36" i="3"/>
  <c r="F36" i="3"/>
  <c r="G36" i="3"/>
  <c r="B37" i="3"/>
  <c r="C37" i="3"/>
  <c r="D37" i="3"/>
  <c r="E37" i="3"/>
  <c r="F37" i="3"/>
  <c r="G37" i="3"/>
  <c r="B38" i="3"/>
  <c r="C38" i="3"/>
  <c r="D38" i="3"/>
  <c r="E38" i="3"/>
  <c r="F38" i="3"/>
  <c r="G38" i="3"/>
  <c r="B39" i="3"/>
  <c r="C39" i="3"/>
  <c r="D39" i="3"/>
  <c r="E39" i="3"/>
  <c r="F39" i="3"/>
  <c r="G39" i="3"/>
  <c r="B40" i="3"/>
  <c r="C40" i="3"/>
  <c r="D40" i="3"/>
  <c r="E40" i="3"/>
  <c r="F40" i="3"/>
  <c r="G40" i="3"/>
  <c r="B41" i="3"/>
  <c r="C41" i="3"/>
  <c r="D41" i="3"/>
  <c r="E41" i="3"/>
  <c r="F41" i="3"/>
  <c r="G41" i="3"/>
  <c r="B42" i="3"/>
  <c r="C42" i="3"/>
  <c r="D42" i="3"/>
  <c r="E42" i="3"/>
  <c r="F42" i="3"/>
  <c r="G42" i="3"/>
  <c r="B43" i="3"/>
  <c r="C43" i="3"/>
  <c r="D43" i="3"/>
  <c r="E43" i="3"/>
  <c r="F43" i="3"/>
  <c r="G43" i="3"/>
  <c r="B44" i="3"/>
  <c r="C44" i="3"/>
  <c r="D44" i="3"/>
  <c r="E44" i="3"/>
  <c r="F44" i="3"/>
  <c r="G44" i="3"/>
  <c r="B45" i="3"/>
  <c r="C45" i="3"/>
  <c r="D45" i="3"/>
  <c r="E45" i="3"/>
  <c r="F45" i="3"/>
  <c r="G45" i="3"/>
  <c r="B46" i="3"/>
  <c r="C46" i="3"/>
  <c r="D46" i="3"/>
  <c r="E46" i="3"/>
  <c r="F46" i="3"/>
  <c r="G46" i="3"/>
  <c r="B47" i="3"/>
  <c r="C47" i="3"/>
  <c r="D47" i="3"/>
  <c r="E47" i="3"/>
  <c r="F47" i="3"/>
  <c r="G47" i="3"/>
  <c r="B48" i="3"/>
  <c r="C48" i="3"/>
  <c r="D48" i="3"/>
  <c r="E48" i="3"/>
  <c r="F48" i="3"/>
  <c r="G48" i="3"/>
  <c r="B49" i="3"/>
  <c r="C49" i="3"/>
  <c r="D49" i="3"/>
  <c r="E49" i="3"/>
  <c r="F49" i="3"/>
  <c r="G49" i="3"/>
  <c r="B50" i="3"/>
  <c r="C50" i="3"/>
  <c r="D50" i="3"/>
  <c r="E50" i="3"/>
  <c r="F50" i="3"/>
  <c r="G50" i="3"/>
  <c r="B51" i="3"/>
  <c r="C51" i="3"/>
  <c r="D51" i="3"/>
  <c r="E51" i="3"/>
  <c r="F51" i="3"/>
  <c r="G51" i="3"/>
  <c r="B52" i="3"/>
  <c r="C52" i="3"/>
  <c r="D52" i="3"/>
  <c r="E52" i="3"/>
  <c r="F52" i="3"/>
  <c r="G52" i="3"/>
  <c r="B53" i="3"/>
  <c r="C53" i="3"/>
  <c r="D53" i="3"/>
  <c r="E53" i="3"/>
  <c r="F53" i="3"/>
  <c r="G53" i="3"/>
  <c r="B54" i="3"/>
  <c r="C54" i="3"/>
  <c r="D54" i="3"/>
  <c r="E54" i="3"/>
  <c r="F54" i="3"/>
  <c r="G54" i="3"/>
  <c r="B55" i="3"/>
  <c r="C55" i="3"/>
  <c r="D55" i="3"/>
  <c r="E55" i="3"/>
  <c r="F55" i="3"/>
  <c r="G55" i="3"/>
  <c r="B56" i="3"/>
  <c r="C56" i="3"/>
  <c r="D56" i="3"/>
  <c r="E56" i="3"/>
  <c r="F56" i="3"/>
  <c r="G56" i="3"/>
  <c r="B57" i="3"/>
  <c r="C57" i="3"/>
  <c r="D57" i="3"/>
  <c r="E57" i="3"/>
  <c r="F57" i="3"/>
  <c r="G57" i="3"/>
  <c r="B58" i="3"/>
  <c r="C58" i="3"/>
  <c r="D58" i="3"/>
  <c r="E58" i="3"/>
  <c r="F58" i="3"/>
  <c r="G58" i="3"/>
  <c r="B59" i="3"/>
  <c r="C59" i="3"/>
  <c r="D59" i="3"/>
  <c r="E59" i="3"/>
  <c r="F59" i="3"/>
  <c r="G59" i="3"/>
  <c r="B60" i="3"/>
  <c r="C60" i="3"/>
  <c r="D60" i="3"/>
  <c r="E60" i="3"/>
  <c r="F60" i="3"/>
  <c r="G60" i="3"/>
  <c r="B61" i="3"/>
  <c r="C61" i="3"/>
  <c r="D61" i="3"/>
  <c r="E61" i="3"/>
  <c r="F61" i="3"/>
  <c r="G61" i="3"/>
  <c r="B62" i="3"/>
  <c r="C62" i="3"/>
  <c r="D62" i="3"/>
  <c r="E62" i="3"/>
  <c r="F62" i="3"/>
  <c r="G62" i="3"/>
  <c r="B63" i="3"/>
  <c r="C63" i="3"/>
  <c r="D63" i="3"/>
  <c r="E63" i="3"/>
  <c r="F63" i="3"/>
  <c r="G63" i="3"/>
  <c r="B64" i="3"/>
  <c r="C64" i="3"/>
  <c r="D64" i="3"/>
  <c r="E64" i="3"/>
  <c r="F64" i="3"/>
  <c r="G64" i="3"/>
  <c r="B65" i="3"/>
  <c r="C65" i="3"/>
  <c r="D65" i="3"/>
  <c r="E65" i="3"/>
  <c r="F65" i="3"/>
  <c r="G65" i="3"/>
  <c r="B66" i="3"/>
  <c r="C66" i="3"/>
  <c r="D66" i="3"/>
  <c r="E66" i="3"/>
  <c r="F66" i="3"/>
  <c r="G66" i="3"/>
  <c r="B67" i="3"/>
  <c r="C67" i="3"/>
  <c r="D67" i="3"/>
  <c r="E67" i="3"/>
  <c r="F67" i="3"/>
  <c r="G67" i="3"/>
  <c r="B68" i="3"/>
  <c r="C68" i="3"/>
  <c r="D68" i="3"/>
  <c r="E68" i="3"/>
  <c r="F68" i="3"/>
  <c r="G68" i="3"/>
  <c r="B69" i="3"/>
  <c r="C69" i="3"/>
  <c r="D69" i="3"/>
  <c r="E69" i="3"/>
  <c r="F69" i="3"/>
  <c r="G69" i="3"/>
  <c r="B70" i="3"/>
  <c r="C70" i="3"/>
  <c r="D70" i="3"/>
  <c r="E70" i="3"/>
  <c r="F70" i="3"/>
  <c r="G70" i="3"/>
  <c r="B71" i="3"/>
  <c r="C71" i="3"/>
  <c r="D71" i="3"/>
  <c r="E71" i="3"/>
  <c r="F71" i="3"/>
  <c r="G71" i="3"/>
  <c r="B72" i="3"/>
  <c r="C72" i="3"/>
  <c r="D72" i="3"/>
  <c r="E72" i="3"/>
  <c r="F72" i="3"/>
  <c r="G72" i="3"/>
  <c r="B73" i="3"/>
  <c r="C73" i="3"/>
  <c r="D73" i="3"/>
  <c r="E73" i="3"/>
  <c r="F73" i="3"/>
  <c r="G73" i="3"/>
  <c r="B74" i="3"/>
  <c r="C74" i="3"/>
  <c r="D74" i="3"/>
  <c r="E74" i="3"/>
  <c r="F74" i="3"/>
  <c r="G74" i="3"/>
  <c r="B75" i="3"/>
  <c r="C75" i="3"/>
  <c r="D75" i="3"/>
  <c r="E75" i="3"/>
  <c r="F75" i="3"/>
  <c r="G75" i="3"/>
  <c r="B76" i="3"/>
  <c r="C76" i="3"/>
  <c r="D76" i="3"/>
  <c r="E76" i="3"/>
  <c r="F76" i="3"/>
  <c r="G76" i="3"/>
  <c r="B77" i="3"/>
  <c r="C77" i="3"/>
  <c r="D77" i="3"/>
  <c r="E77" i="3"/>
  <c r="F77" i="3"/>
  <c r="G77" i="3"/>
  <c r="B2" i="3"/>
  <c r="C2" i="3"/>
  <c r="D2" i="3"/>
  <c r="E2" i="3"/>
  <c r="F2" i="3"/>
  <c r="G2" i="3"/>
  <c r="F89" i="1"/>
  <c r="E89" i="1"/>
  <c r="D89" i="1"/>
  <c r="D87" i="1"/>
  <c r="E87" i="1"/>
  <c r="F87" i="1"/>
  <c r="A87" i="1"/>
  <c r="D88" i="1"/>
  <c r="C87" i="1"/>
  <c r="E88" i="1"/>
  <c r="F88" i="1"/>
  <c r="C88" i="1"/>
  <c r="C89" i="1"/>
  <c r="B93" i="1"/>
</calcChain>
</file>

<file path=xl/sharedStrings.xml><?xml version="1.0" encoding="utf-8"?>
<sst xmlns="http://schemas.openxmlformats.org/spreadsheetml/2006/main" count="355" uniqueCount="259">
  <si>
    <t>To</t>
  </si>
  <si>
    <t>boolean</t>
  </si>
  <si>
    <t>x</t>
  </si>
  <si>
    <t>integer</t>
  </si>
  <si>
    <t>number</t>
  </si>
  <si>
    <t>text</t>
  </si>
  <si>
    <t>undefined</t>
  </si>
  <si>
    <t>Object</t>
  </si>
  <si>
    <t>integer</t>
  </si>
  <si>
    <t>number</t>
  </si>
  <si>
    <t>text</t>
  </si>
  <si>
    <t>x</t>
  </si>
  <si>
    <t>Object</t>
  </si>
  <si>
    <t>BoolObj</t>
  </si>
  <si>
    <t>IntObj</t>
  </si>
  <si>
    <t>NumObj</t>
  </si>
  <si>
    <t>TextObj</t>
  </si>
  <si>
    <t>OK?</t>
  </si>
  <si>
    <t>Pass</t>
  </si>
  <si>
    <t>Fail</t>
  </si>
  <si>
    <t xml:space="preserve">  Total</t>
  </si>
  <si>
    <t>Summary of Test Cases</t>
  </si>
  <si>
    <t>Templating System</t>
  </si>
  <si>
    <t>Return</t>
  </si>
  <si>
    <t>TwoTypeObjObj</t>
  </si>
  <si>
    <t>TwoTypeObjPri</t>
  </si>
  <si>
    <t>TwoTypePriObj</t>
  </si>
  <si>
    <t>TwoTypePriPri</t>
  </si>
  <si>
    <t>Boolean</t>
  </si>
  <si>
    <t>Integer</t>
  </si>
  <si>
    <t>Text</t>
  </si>
  <si>
    <t>Pass\TwoTypeObjObjBooleanRetBoolObj.quorum</t>
  </si>
  <si>
    <t>Pass\TwoTypeObjObjIntegerRetBoolObj.quorum</t>
  </si>
  <si>
    <t>Pass\TwoTypeObjObjTextRetBoolObj.quorum</t>
  </si>
  <si>
    <t>Pass\TwoTypeObjObjBooleanRetboolean.quorum</t>
  </si>
  <si>
    <t>Pass\TwoTypeObjObjIntegerRetboolean.quorum</t>
  </si>
  <si>
    <t>Pass\TwoTypeObjObjTextRetboolean.quorum</t>
  </si>
  <si>
    <t>Pass\TwoTypeObjObjBooleanRetIntObj.quorum</t>
  </si>
  <si>
    <t>Pass\TwoTypeObjObjIntegerRetIntObj.quorum</t>
  </si>
  <si>
    <t>Pass\TwoTypeObjObjTextRetIntObj.quorum</t>
  </si>
  <si>
    <t>Pass\TwoTypeObjObjBooleanRetinteger.quorum</t>
  </si>
  <si>
    <t>Pass\TwoTypeObjObjIntegerRetinteger.quorum</t>
  </si>
  <si>
    <t>Pass\TwoTypeObjObjTextRetinteger.quorum</t>
  </si>
  <si>
    <t>Pass\TwoTypeObjObjBooleanRetNumObj.quorum</t>
  </si>
  <si>
    <t>Pass\TwoTypeObjObjIntegerRetNumObj.quorum</t>
  </si>
  <si>
    <t>Pass\TwoTypeObjObjTextRetNumObj.quorum</t>
  </si>
  <si>
    <t>Pass\TwoTypeObjObjBooleanRetnumber.quorum</t>
  </si>
  <si>
    <t>Pass\TwoTypeObjObjIntegerRetnumber.quorum</t>
  </si>
  <si>
    <t>Pass\TwoTypeObjObjTextRetnumber.quorum</t>
  </si>
  <si>
    <t>Pass\TwoTypeObjObjBooleanRetObject.quorum</t>
  </si>
  <si>
    <t>Pass\TwoTypeObjObjIntegerRetObject.quorum</t>
  </si>
  <si>
    <t>Pass\TwoTypeObjObjTextRetObject.quorum</t>
  </si>
  <si>
    <t>Pass\TwoTypeObjObjBooleanRettext.quorum</t>
  </si>
  <si>
    <t>Pass\TwoTypeObjObjIntegerRettext.quorum</t>
  </si>
  <si>
    <t>Pass\TwoTypeObjObjTextRettext.quorum</t>
  </si>
  <si>
    <t>Pass\TwoTypeObjObjBooleanRetTextObj.quorum</t>
  </si>
  <si>
    <t>Pass\TwoTypeObjObjIntegerRetTextObj.quorum</t>
  </si>
  <si>
    <t>Pass\TwoTypeObjObjTextRetTextObj.quorum</t>
  </si>
  <si>
    <t>Pass\TwoTypeObjPriBooleanRetBoolObj.quorum</t>
  </si>
  <si>
    <t>Pass\TwoTypeObjPriIntegerRetBoolObj.quorum</t>
  </si>
  <si>
    <t>Pass\TwoTypeObjPriTextRetBoolObj.quorum</t>
  </si>
  <si>
    <t>Pass\TwoTypeObjPriBooleanRetboolean.quorum</t>
  </si>
  <si>
    <t>Pass\TwoTypeObjPriIntegerRetboolean.quorum</t>
  </si>
  <si>
    <t>Pass\TwoTypeObjPriTextRetboolean.quorum</t>
  </si>
  <si>
    <t>Pass\TwoTypeObjPriBooleanRetIntObj.quorum</t>
  </si>
  <si>
    <t>Pass\TwoTypeObjPriIntegerRetIntObj.quorum</t>
  </si>
  <si>
    <t>Pass\TwoTypeObjPriTextRetIntObj.quorum</t>
  </si>
  <si>
    <t>Pass\TwoTypeObjPriBooleanRetinteger.quorum</t>
  </si>
  <si>
    <t>Pass\TwoTypeObjPriIntegerRetinteger.quorum</t>
  </si>
  <si>
    <t>Pass\TwoTypeObjPriTextRetinteger.quorum</t>
  </si>
  <si>
    <t>Pass\TwoTypeObjPriBooleanRetNumObj.quorum</t>
  </si>
  <si>
    <t>Pass\TwoTypeObjPriIntegerRetNumObj.quorum</t>
  </si>
  <si>
    <t>Pass\TwoTypeObjPriTextRetNumObj.quorum</t>
  </si>
  <si>
    <t>Pass\TwoTypeObjPriBooleanRetnumber.quorum</t>
  </si>
  <si>
    <t>Pass\TwoTypeObjPriIntegerRetnumber.quorum</t>
  </si>
  <si>
    <t>Pass\TwoTypeObjPriTextRetnumber.quorum</t>
  </si>
  <si>
    <t>Pass\TwoTypeObjPriBooleanRetObject.quorum</t>
  </si>
  <si>
    <t>Pass\TwoTypeObjPriIntegerRetObject.quorum</t>
  </si>
  <si>
    <t>Pass\TwoTypeObjPriTextRetObject.quorum</t>
  </si>
  <si>
    <t>Pass\TwoTypeObjPriBooleanRettext.quorum</t>
  </si>
  <si>
    <t>Pass\TwoTypeObjPriIntegerRettext.quorum</t>
  </si>
  <si>
    <t>Pass\TwoTypeObjPriTextRettext.quorum</t>
  </si>
  <si>
    <t>Pass\TwoTypeObjPriBooleanRetTextObj.quorum</t>
  </si>
  <si>
    <t>Pass\TwoTypeObjPriIntegerRetTextObj.quorum</t>
  </si>
  <si>
    <t>Pass\TwoTypeObjPriTextRetTextObj.quorum</t>
  </si>
  <si>
    <t>Pass\TwoTypePriObjBooleanRetBoolObj.quorum</t>
  </si>
  <si>
    <t>Pass\TwoTypePriObjIntegerRetBoolObj.quorum</t>
  </si>
  <si>
    <t>Pass\TwoTypePriObjTextRetBoolObj.quorum</t>
  </si>
  <si>
    <t>Pass\TwoTypePriObjBooleanRetboolean.quorum</t>
  </si>
  <si>
    <t>Pass\TwoTypePriObjIntegerRetboolean.quorum</t>
  </si>
  <si>
    <t>Pass\TwoTypePriObjTextRetboolean.quorum</t>
  </si>
  <si>
    <t>Pass\TwoTypePriObjBooleanRetIntObj.quorum</t>
  </si>
  <si>
    <t>Pass\TwoTypePriObjIntegerRetIntObj.quorum</t>
  </si>
  <si>
    <t>Pass\TwoTypePriObjTextRetIntObj.quorum</t>
  </si>
  <si>
    <t>Pass\TwoTypePriObjBooleanRetinteger.quorum</t>
  </si>
  <si>
    <t>Pass\TwoTypePriObjIntegerRetinteger.quorum</t>
  </si>
  <si>
    <t>Pass\TwoTypePriObjTextRetinteger.quorum</t>
  </si>
  <si>
    <t>Pass\TwoTypePriObjBooleanRetNumObj.quorum</t>
  </si>
  <si>
    <t>Pass\TwoTypePriObjIntegerRetNumObj.quorum</t>
  </si>
  <si>
    <t>Pass\TwoTypePriObjTextRetNumObj.quorum</t>
  </si>
  <si>
    <t>Pass\TwoTypePriObjBooleanRetnumber.quorum</t>
  </si>
  <si>
    <t>Pass\TwoTypePriObjIntegerRetnumber.quorum</t>
  </si>
  <si>
    <t>Pass\TwoTypePriObjTextRetnumber.quorum</t>
  </si>
  <si>
    <t>Pass\TwoTypePriObjBooleanRetObject.quorum</t>
  </si>
  <si>
    <t>Pass\TwoTypePriObjIntegerRetObject.quorum</t>
  </si>
  <si>
    <t>Pass\TwoTypePriObjTextRetObject.quorum</t>
  </si>
  <si>
    <t>Pass\TwoTypePriObjBooleanRettext.quorum</t>
  </si>
  <si>
    <t>Pass\TwoTypePriObjIntegerRettext.quorum</t>
  </si>
  <si>
    <t>Pass\TwoTypePriObjTextRettext.quorum</t>
  </si>
  <si>
    <t>Pass\TwoTypePriObjBooleanRetTextObj.quorum</t>
  </si>
  <si>
    <t>Pass\TwoTypePriObjIntegerRetTextObj.quorum</t>
  </si>
  <si>
    <t>Pass\TwoTypePriObjTextRetTextObj.quorum</t>
  </si>
  <si>
    <t>Pass\TwoTypePriPriBooleanRetBoolObj.quorum</t>
  </si>
  <si>
    <t>Pass\TwoTypePriPriIntegerRetBoolObj.quorum</t>
  </si>
  <si>
    <t>Pass\TwoTypePriPriTextRetBoolObj.quorum</t>
  </si>
  <si>
    <t>Pass\TwoTypePriPriBooleanRetboolean.quorum</t>
  </si>
  <si>
    <t>Pass\TwoTypePriPriIntegerRetboolean.quorum</t>
  </si>
  <si>
    <t>Pass\TwoTypePriPriTextRetboolean.quorum</t>
  </si>
  <si>
    <t>Pass\TwoTypePriPriBooleanRetIntObj.quorum</t>
  </si>
  <si>
    <t>Pass\TwoTypePriPriIntegerRetIntObj.quorum</t>
  </si>
  <si>
    <t>Pass\TwoTypePriPriTextRetIntObj.quorum</t>
  </si>
  <si>
    <t>Pass\TwoTypePriPriBooleanRetinteger.quorum</t>
  </si>
  <si>
    <t>Pass\TwoTypePriPriIntegerRetinteger.quorum</t>
  </si>
  <si>
    <t>Pass\TwoTypePriPriTextRetinteger.quorum</t>
  </si>
  <si>
    <t>Pass\TwoTypePriPriBooleanRetNumObj.quorum</t>
  </si>
  <si>
    <t>Pass\TwoTypePriPriIntegerRetNumObj.quorum</t>
  </si>
  <si>
    <t>Pass\TwoTypePriPriTextRetNumObj.quorum</t>
  </si>
  <si>
    <t>Pass\TwoTypePriPriBooleanRetnumber.quorum</t>
  </si>
  <si>
    <t>Pass\TwoTypePriPriIntegerRetnumber.quorum</t>
  </si>
  <si>
    <t>Pass\TwoTypePriPriTextRetnumber.quorum</t>
  </si>
  <si>
    <t>Pass\TwoTypePriPriBooleanRetObject.quorum</t>
  </si>
  <si>
    <t>Pass\TwoTypePriPriIntegerRetObject.quorum</t>
  </si>
  <si>
    <t>Pass\TwoTypePriPriTextRetObject.quorum</t>
  </si>
  <si>
    <t>Pass\TwoTypePriPriBooleanRettext.quorum</t>
  </si>
  <si>
    <t>Pass\TwoTypePriPriIntegerRettext.quorum</t>
  </si>
  <si>
    <t>Pass\TwoTypePriPriTextRettext.quorum</t>
  </si>
  <si>
    <t>Pass\TwoTypePriPriBooleanRetTextObj.quorum</t>
  </si>
  <si>
    <t>Pass\TwoTypePriPriIntegerRetTextObj.quorum</t>
  </si>
  <si>
    <t>Pass\TwoTypePriPriTextRetTextObj.quorum</t>
  </si>
  <si>
    <t>Fail\TwoTypePriPriBooleanRetBoolObjFail.quorum</t>
  </si>
  <si>
    <t>Fail\TwoTypePriPriIntegerRetBoolObjFail.quorum</t>
  </si>
  <si>
    <t>Fail\TwoTypePriPriTextRetBoolObjFail.quorum</t>
  </si>
  <si>
    <t>Fail\TwoTypePriPriBooleanRetbooleanFail.quorum</t>
  </si>
  <si>
    <t>Fail\TwoTypePriPriIntegerRetbooleanFail.quorum</t>
  </si>
  <si>
    <t>Fail\TwoTypePriPriTextRetbooleanFail.quorum</t>
  </si>
  <si>
    <t>Fail\TwoTypePriPriBooleanRetIntObjFail.quorum</t>
  </si>
  <si>
    <t>Fail\TwoTypePriPriIntegerRetIntObjFail.quorum</t>
  </si>
  <si>
    <t>Fail\TwoTypePriPriTextRetIntObjFail.quorum</t>
  </si>
  <si>
    <t>Fail\TwoTypePriPriBooleanRetintegerFail.quorum</t>
  </si>
  <si>
    <t>Fail\TwoTypePriPriIntegerRetintegerFail.quorum</t>
  </si>
  <si>
    <t>Fail\TwoTypePriPriTextRetintegerFail.quorum</t>
  </si>
  <si>
    <t>Fail\TwoTypePriPriBooleanRetNumObjFail.quorum</t>
  </si>
  <si>
    <t>Fail\TwoTypePriPriIntegerRetNumObjFail.quorum</t>
  </si>
  <si>
    <t>Fail\TwoTypePriPriTextRetNumObjFail.quorum</t>
  </si>
  <si>
    <t>Fail\TwoTypePriPriBooleanRetnumberFail.quorum</t>
  </si>
  <si>
    <t>Fail\TwoTypePriPriIntegerRetnumberFail.quorum</t>
  </si>
  <si>
    <t>Fail\TwoTypePriPriTextRetnumberFail.quorum</t>
  </si>
  <si>
    <t>Fail\TwoTypePriPriBooleanRetObjectFail.quorum</t>
  </si>
  <si>
    <t>Fail\TwoTypePriPriIntegerRetObjectFail.quorum</t>
  </si>
  <si>
    <t>Fail\TwoTypePriPriTextRetObjectFail.quorum</t>
  </si>
  <si>
    <t>Fail\TwoTypePriPriBooleanRettextFail.quorum</t>
  </si>
  <si>
    <t>Fail\TwoTypePriPriIntegerRettextFail.quorum</t>
  </si>
  <si>
    <t>Fail\TwoTypePriPriTextRettextFail.quorum</t>
  </si>
  <si>
    <t>Fail\TwoTypePriPriBooleanRetTextObjFail.quorum</t>
  </si>
  <si>
    <t>Fail\TwoTypePriPriIntegerRetTextObjFail.quorum</t>
  </si>
  <si>
    <t>Fail\TwoTypePriPriTextRetTextObjFail.quorum</t>
  </si>
  <si>
    <t>Fail\TwoTypePriPriBooleanRetundefinedFail.quorum</t>
  </si>
  <si>
    <t>Fail\TwoTypePriPriIntegerRetundefinedFail.quorum</t>
  </si>
  <si>
    <t>Fail\TwoTypePriPriTextRetundefinedFail.quorum</t>
  </si>
  <si>
    <t>Fail\TwoTypePriObjBooleanRetBoolObjFail.quorum</t>
  </si>
  <si>
    <t>Fail\TwoTypePriObjIntegerRetBoolObjFail.quorum</t>
  </si>
  <si>
    <t>Fail\TwoTypePriObjTextRetBoolObjFail.quorum</t>
  </si>
  <si>
    <t>Fail\TwoTypePriObjBooleanRetbooleanFail.quorum</t>
  </si>
  <si>
    <t>Fail\TwoTypePriObjIntegerRetbooleanFail.quorum</t>
  </si>
  <si>
    <t>Fail\TwoTypePriObjTextRetbooleanFail.quorum</t>
  </si>
  <si>
    <t>Fail\TwoTypePriObjBooleanRetIntObjFail.quorum</t>
  </si>
  <si>
    <t>Fail\TwoTypePriObjIntegerRetIntObjFail.quorum</t>
  </si>
  <si>
    <t>Fail\TwoTypePriObjTextRetIntObjFail.quorum</t>
  </si>
  <si>
    <t>Fail\TwoTypePriObjBooleanRetintegerFail.quorum</t>
  </si>
  <si>
    <t>Fail\TwoTypePriObjIntegerRetintegerFail.quorum</t>
  </si>
  <si>
    <t>Fail\TwoTypePriObjTextRetintegerFail.quorum</t>
  </si>
  <si>
    <t>Fail\TwoTypePriObjBooleanRetNumObjFail.quorum</t>
  </si>
  <si>
    <t>Fail\TwoTypePriObjIntegerRetNumObjFail.quorum</t>
  </si>
  <si>
    <t>Fail\TwoTypePriObjTextRetNumObjFail.quorum</t>
  </si>
  <si>
    <t>Fail\TwoTypePriObjBooleanRetnumberFail.quorum</t>
  </si>
  <si>
    <t>Fail\TwoTypePriObjIntegerRetnumberFail.quorum</t>
  </si>
  <si>
    <t>Fail\TwoTypePriObjTextRetnumberFail.quorum</t>
  </si>
  <si>
    <t>Fail\TwoTypePriObjBooleanRetObjectFail.quorum</t>
  </si>
  <si>
    <t>Fail\TwoTypePriObjIntegerRetObjectFail.quorum</t>
  </si>
  <si>
    <t>Fail\TwoTypePriObjTextRetObjectFail.quorum</t>
  </si>
  <si>
    <t>Fail\TwoTypePriObjBooleanRettextFail.quorum</t>
  </si>
  <si>
    <t>Fail\TwoTypePriObjIntegerRettextFail.quorum</t>
  </si>
  <si>
    <t>Fail\TwoTypePriObjTextRettextFail.quorum</t>
  </si>
  <si>
    <t>Fail\TwoTypePriObjBooleanRetTextObjFail.quorum</t>
  </si>
  <si>
    <t>Fail\TwoTypePriObjIntegerRetTextObjFail.quorum</t>
  </si>
  <si>
    <t>Fail\TwoTypePriObjTextRetTextObjFail.quorum</t>
  </si>
  <si>
    <t>Fail\TwoTypePriObjBooleanRetundefinedFail.quorum</t>
  </si>
  <si>
    <t>Fail\TwoTypePriObjIntegerRetundefinedFail.quorum</t>
  </si>
  <si>
    <t>Fail\TwoTypePriObjTextRetundefinedFail.quorum</t>
  </si>
  <si>
    <t>Fail\TwoTypeObjPriBooleanRetBoolObjFail.quorum</t>
  </si>
  <si>
    <t>Fail\TwoTypeObjPriIntegerRetBoolObjFail.quorum</t>
  </si>
  <si>
    <t>Fail\TwoTypeObjPriTextRetBoolObjFail.quorum</t>
  </si>
  <si>
    <t>Fail\TwoTypeObjPriBooleanRetbooleanFail.quorum</t>
  </si>
  <si>
    <t>Fail\TwoTypeObjPriIntegerRetbooleanFail.quorum</t>
  </si>
  <si>
    <t>Fail\TwoTypeObjPriTextRetbooleanFail.quorum</t>
  </si>
  <si>
    <t>Fail\TwoTypeObjPriBooleanRetIntObjFail.quorum</t>
  </si>
  <si>
    <t>Fail\TwoTypeObjPriIntegerRetIntObjFail.quorum</t>
  </si>
  <si>
    <t>Fail\TwoTypeObjPriTextRetIntObjFail.quorum</t>
  </si>
  <si>
    <t>Fail\TwoTypeObjPriBooleanRetintegerFail.quorum</t>
  </si>
  <si>
    <t>Fail\TwoTypeObjPriIntegerRetintegerFail.quorum</t>
  </si>
  <si>
    <t>Fail\TwoTypeObjPriTextRetintegerFail.quorum</t>
  </si>
  <si>
    <t>Fail\TwoTypeObjPriBooleanRetNumObjFail.quorum</t>
  </si>
  <si>
    <t>Fail\TwoTypeObjPriIntegerRetNumObjFail.quorum</t>
  </si>
  <si>
    <t>Fail\TwoTypeObjPriTextRetNumObjFail.quorum</t>
  </si>
  <si>
    <t>Fail\TwoTypeObjPriBooleanRetnumberFail.quorum</t>
  </si>
  <si>
    <t>Fail\TwoTypeObjPriIntegerRetnumberFail.quorum</t>
  </si>
  <si>
    <t>Fail\TwoTypeObjPriTextRetnumberFail.quorum</t>
  </si>
  <si>
    <t>Fail\TwoTypeObjPriBooleanRetObjectFail.quorum</t>
  </si>
  <si>
    <t>Fail\TwoTypeObjPriIntegerRetObjectFail.quorum</t>
  </si>
  <si>
    <t>Fail\TwoTypeObjPriTextRetObjectFail.quorum</t>
  </si>
  <si>
    <t>Fail\TwoTypeObjPriBooleanRettextFail.quorum</t>
  </si>
  <si>
    <t>Fail\TwoTypeObjPriIntegerRettextFail.quorum</t>
  </si>
  <si>
    <t>Fail\TwoTypeObjPriTextRettextFail.quorum</t>
  </si>
  <si>
    <t>Fail\TwoTypeObjPriBooleanRetTextObjFail.quorum</t>
  </si>
  <si>
    <t>Fail\TwoTypeObjPriIntegerRetTextObjFail.quorum</t>
  </si>
  <si>
    <t>Fail\TwoTypeObjPriTextRetTextObjFail.quorum</t>
  </si>
  <si>
    <t>Fail\TwoTypeObjPriBooleanRetundefinedFail.quorum</t>
  </si>
  <si>
    <t>Fail\TwoTypeObjPriIntegerRetundefinedFail.quorum</t>
  </si>
  <si>
    <t>Fail\TwoTypeObjPriTextRetundefinedFail.quorum</t>
  </si>
  <si>
    <t>Fail\TwoTypeObjObjBooleanRetBoolObjFail.quorum</t>
  </si>
  <si>
    <t>Fail\TwoTypeObjObjIntegerRetBoolObjFail.quorum</t>
  </si>
  <si>
    <t>Fail\TwoTypeObjObjTextRetBoolObjFail.quorum</t>
  </si>
  <si>
    <t>Fail\TwoTypeObjObjBooleanRetbooleanFail.quorum</t>
  </si>
  <si>
    <t>Fail\TwoTypeObjObjIntegerRetbooleanFail.quorum</t>
  </si>
  <si>
    <t>Fail\TwoTypeObjObjTextRetbooleanFail.quorum</t>
  </si>
  <si>
    <t>Fail\TwoTypeObjObjBooleanRetIntObjFail.quorum</t>
  </si>
  <si>
    <t>Fail\TwoTypeObjObjIntegerRetIntObjFail.quorum</t>
  </si>
  <si>
    <t>Fail\TwoTypeObjObjTextRetIntObjFail.quorum</t>
  </si>
  <si>
    <t>Fail\TwoTypeObjObjBooleanRetintegerFail.quorum</t>
  </si>
  <si>
    <t>Fail\TwoTypeObjObjIntegerRetintegerFail.quorum</t>
  </si>
  <si>
    <t>Fail\TwoTypeObjObjTextRetintegerFail.quorum</t>
  </si>
  <si>
    <t>Fail\TwoTypeObjObjBooleanRetNumObjFail.quorum</t>
  </si>
  <si>
    <t>Fail\TwoTypeObjObjIntegerRetNumObjFail.quorum</t>
  </si>
  <si>
    <t>Fail\TwoTypeObjObjTextRetNumObjFail.quorum</t>
  </si>
  <si>
    <t>Fail\TwoTypeObjObjBooleanRetnumberFail.quorum</t>
  </si>
  <si>
    <t>Fail\TwoTypeObjObjIntegerRetnumberFail.quorum</t>
  </si>
  <si>
    <t>Fail\TwoTypeObjObjTextRetnumberFail.quorum</t>
  </si>
  <si>
    <t>Fail\TwoTypeObjObjBooleanRetObjectFail.quorum</t>
  </si>
  <si>
    <t>Fail\TwoTypeObjObjIntegerRetObjectFail.quorum</t>
  </si>
  <si>
    <t>Fail\TwoTypeObjObjTextRetObjectFail.quorum</t>
  </si>
  <si>
    <t>Fail\TwoTypeObjObjBooleanRettextFail.quorum</t>
  </si>
  <si>
    <t>Fail\TwoTypeObjObjIntegerRettextFail.quorum</t>
  </si>
  <si>
    <t>Fail\TwoTypeObjObjTextRettextFail.quorum</t>
  </si>
  <si>
    <t>Fail\TwoTypeObjObjBooleanRetTextObjFail.quorum</t>
  </si>
  <si>
    <t>Fail\TwoTypeObjObjIntegerRetTextObjFail.quorum</t>
  </si>
  <si>
    <t>Fail\TwoTypeObjObjTextRetTextObjFail.quorum</t>
  </si>
  <si>
    <t>Fail\TwoTypeObjObjBooleanRetundefinedFail.quorum</t>
  </si>
  <si>
    <t>Fail\TwoTypeObjObjIntegerRetundefinedFail.quorum</t>
  </si>
  <si>
    <t>Fail\TwoTypeObjObjTextRetundefinedFail.quorum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</si>
</sst>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u/>
      <sz val="10"/>
      <color theme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name val="Arial"/>
      <family val="2"/>
    </font>
    <font>
      <u/>
      <sz val="8"/>
      <color theme="10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color theme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FE2F3"/>
        <bgColor rgb="FFCFE2F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8">
    <xf numFmtId="0" fontId="0" fillId="0" borderId="0" xfId="0"/>
    <xf numFmtId="0" fontId="2" fillId="0" borderId="1" xfId="0" applyFont="1" applyBorder="1" applyAlignment="1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/>
    <xf numFmtId="0" fontId="4" fillId="0" borderId="1" xfId="0" applyFont="1" applyBorder="1" applyAlignment="1"/>
    <xf numFmtId="0" fontId="2" fillId="0" borderId="2" xfId="0" applyFont="1" applyBorder="1" applyAlignment="1">
      <alignment horizontal="center"/>
    </xf>
    <xf numFmtId="0" fontId="5" fillId="0" borderId="0" xfId="0" applyFont="1"/>
    <xf numFmtId="0" fontId="2" fillId="0" borderId="3" xfId="0" applyFont="1" applyBorder="1"/>
    <xf numFmtId="0" fontId="9" fillId="0" borderId="3" xfId="0" applyFont="1" applyBorder="1"/>
    <xf numFmtId="0" fontId="3" fillId="0" borderId="7" xfId="0" applyFont="1" applyBorder="1" applyAlignment="1"/>
    <xf numFmtId="0" fontId="2" fillId="0" borderId="7" xfId="0" applyFont="1" applyBorder="1"/>
    <xf numFmtId="0" fontId="2" fillId="0" borderId="7" xfId="0" applyFont="1" applyFill="1" applyBorder="1"/>
    <xf numFmtId="0" fontId="2" fillId="3" borderId="1" xfId="0" applyFont="1" applyFill="1" applyBorder="1" applyAlignment="1"/>
    <xf numFmtId="0" fontId="2" fillId="3" borderId="1" xfId="0" applyFont="1" applyFill="1" applyBorder="1" applyAlignment="1">
      <alignment horizontal="center"/>
    </xf>
    <xf numFmtId="0" fontId="3" fillId="2" borderId="6" xfId="0" applyFont="1" applyFill="1" applyBorder="1" applyAlignment="1"/>
    <xf numFmtId="0" fontId="3" fillId="2" borderId="3" xfId="0" applyFont="1" applyFill="1" applyBorder="1" applyAlignment="1"/>
    <xf numFmtId="0" fontId="3" fillId="2" borderId="3" xfId="0" applyFont="1" applyFill="1" applyBorder="1" applyAlignment="1">
      <alignment horizontal="center"/>
    </xf>
    <xf numFmtId="0" fontId="7" fillId="2" borderId="3" xfId="0" applyFont="1" applyFill="1" applyBorder="1" applyAlignment="1"/>
    <xf numFmtId="0" fontId="7" fillId="2" borderId="4" xfId="0" applyFont="1" applyFill="1" applyBorder="1" applyAlignment="1"/>
    <xf numFmtId="0" fontId="3" fillId="4" borderId="7" xfId="0" applyFont="1" applyFill="1" applyBorder="1" applyAlignment="1"/>
    <xf numFmtId="0" fontId="3" fillId="4" borderId="1" xfId="0" applyFont="1" applyFill="1" applyBorder="1" applyAlignment="1"/>
    <xf numFmtId="0" fontId="3" fillId="4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8" fillId="5" borderId="6" xfId="0" applyFont="1" applyFill="1" applyBorder="1" applyAlignment="1"/>
    <xf numFmtId="0" fontId="8" fillId="5" borderId="3" xfId="0" applyFont="1" applyFill="1" applyBorder="1" applyAlignment="1"/>
    <xf numFmtId="0" fontId="8" fillId="5" borderId="3" xfId="0" applyFont="1" applyFill="1" applyBorder="1" applyAlignment="1">
      <alignment horizontal="center"/>
    </xf>
    <xf numFmtId="0" fontId="8" fillId="5" borderId="4" xfId="0" applyFont="1" applyFill="1" applyBorder="1" applyAlignme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6" borderId="1" xfId="0" applyFont="1" applyFill="1" applyBorder="1" applyAlignment="1"/>
    <xf numFmtId="0" fontId="2" fillId="6" borderId="1" xfId="0" applyFont="1" applyFill="1" applyBorder="1" applyAlignment="1">
      <alignment horizontal="center"/>
    </xf>
    <xf numFmtId="0" fontId="6" fillId="6" borderId="1" xfId="1" applyFont="1" applyFill="1" applyBorder="1"/>
    <xf numFmtId="0" fontId="6" fillId="3" borderId="1" xfId="1" applyFont="1" applyFill="1" applyBorder="1"/>
    <xf numFmtId="0" fontId="3" fillId="3" borderId="3" xfId="0" applyFont="1" applyFill="1" applyBorder="1" applyAlignment="1"/>
    <xf numFmtId="0" fontId="3" fillId="3" borderId="3" xfId="0" applyFont="1" applyFill="1" applyBorder="1" applyAlignment="1">
      <alignment horizontal="center"/>
    </xf>
    <xf numFmtId="0" fontId="7" fillId="3" borderId="3" xfId="0" applyFont="1" applyFill="1" applyBorder="1" applyAlignment="1"/>
    <xf numFmtId="0" fontId="7" fillId="3" borderId="4" xfId="0" applyFont="1" applyFill="1" applyBorder="1" applyAlignment="1"/>
  </cellXfs>
  <cellStyles count="6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Pass\TwoTypePriObjTextRetBoolObj.quorum" TargetMode="External"/><Relationship Id="rId21" Type="http://schemas.openxmlformats.org/officeDocument/2006/relationships/hyperlink" Target="Pass\TwoTypeObjObjTextRetObject.quorum" TargetMode="External"/><Relationship Id="rId42" Type="http://schemas.openxmlformats.org/officeDocument/2006/relationships/hyperlink" Target="Fail\TwoTypeObjObjTextRetNumObjFail.quorum" TargetMode="External"/><Relationship Id="rId63" Type="http://schemas.openxmlformats.org/officeDocument/2006/relationships/hyperlink" Target="Pass\TwoTypeObjPriTextRetboolean.quorum" TargetMode="External"/><Relationship Id="rId84" Type="http://schemas.openxmlformats.org/officeDocument/2006/relationships/hyperlink" Target="Pass\TwoTypeObjPriTextRetTextObj.quorum" TargetMode="External"/><Relationship Id="rId138" Type="http://schemas.openxmlformats.org/officeDocument/2006/relationships/hyperlink" Target="Pass\TwoTypePriObjTextRettext.quorum" TargetMode="External"/><Relationship Id="rId159" Type="http://schemas.openxmlformats.org/officeDocument/2006/relationships/hyperlink" Target="Fail\TwoTypePriObjTextRetnumberFail.quorum" TargetMode="External"/><Relationship Id="rId170" Type="http://schemas.openxmlformats.org/officeDocument/2006/relationships/hyperlink" Target="Fail\TwoTypePriObjIntegerRetundefinedFail.quorum" TargetMode="External"/><Relationship Id="rId191" Type="http://schemas.openxmlformats.org/officeDocument/2006/relationships/hyperlink" Target="Pass\TwoTypePriPriIntegerRetObject.quorum" TargetMode="External"/><Relationship Id="rId205" Type="http://schemas.openxmlformats.org/officeDocument/2006/relationships/hyperlink" Target="Fail\TwoTypePriPriBooleanRetIntObjFail.quorum" TargetMode="External"/><Relationship Id="rId226" Type="http://schemas.openxmlformats.org/officeDocument/2006/relationships/hyperlink" Target="Fail\TwoTypePriPriBooleanRetundefinedFail.quorum" TargetMode="External"/><Relationship Id="rId107" Type="http://schemas.openxmlformats.org/officeDocument/2006/relationships/hyperlink" Target="Fail\TwoTypeObjPriIntegerRettextFail.quorum" TargetMode="External"/><Relationship Id="rId11" Type="http://schemas.openxmlformats.org/officeDocument/2006/relationships/hyperlink" Target="Pass\TwoTypeObjObjIntegerRetinteger.quorum" TargetMode="External"/><Relationship Id="rId32" Type="http://schemas.openxmlformats.org/officeDocument/2006/relationships/hyperlink" Target="Fail\TwoTypeObjObjIntegerRetbooleanFail.quorum" TargetMode="External"/><Relationship Id="rId53" Type="http://schemas.openxmlformats.org/officeDocument/2006/relationships/hyperlink" Target="Fail\TwoTypeObjObjIntegerRetTextObjFail.quorum" TargetMode="External"/><Relationship Id="rId74" Type="http://schemas.openxmlformats.org/officeDocument/2006/relationships/hyperlink" Target="Pass\TwoTypeObjPriIntegerRetnumber.quorum" TargetMode="External"/><Relationship Id="rId128" Type="http://schemas.openxmlformats.org/officeDocument/2006/relationships/hyperlink" Target="Pass\TwoTypePriObjIntegerRetNumObj.quorum" TargetMode="External"/><Relationship Id="rId149" Type="http://schemas.openxmlformats.org/officeDocument/2006/relationships/hyperlink" Target="Fail\TwoTypePriObjIntegerRetIntObjFail.quorum" TargetMode="External"/><Relationship Id="rId5" Type="http://schemas.openxmlformats.org/officeDocument/2006/relationships/hyperlink" Target="Pass\TwoTypeObjObjIntegerRetboolean.quorum" TargetMode="External"/><Relationship Id="rId95" Type="http://schemas.openxmlformats.org/officeDocument/2006/relationships/hyperlink" Target="Fail\TwoTypeObjPriIntegerRetintegerFail.quorum" TargetMode="External"/><Relationship Id="rId160" Type="http://schemas.openxmlformats.org/officeDocument/2006/relationships/hyperlink" Target="Fail\TwoTypePriObjBooleanRetObjectFail.quorum" TargetMode="External"/><Relationship Id="rId181" Type="http://schemas.openxmlformats.org/officeDocument/2006/relationships/hyperlink" Target="Pass\TwoTypePriPriBooleanRetinteger.quorum" TargetMode="External"/><Relationship Id="rId216" Type="http://schemas.openxmlformats.org/officeDocument/2006/relationships/hyperlink" Target="Fail\TwoTypePriPriTextRetnumberFail.quorum" TargetMode="External"/><Relationship Id="rId22" Type="http://schemas.openxmlformats.org/officeDocument/2006/relationships/hyperlink" Target="Pass\TwoTypeObjObjBooleanRettext.quorum" TargetMode="External"/><Relationship Id="rId27" Type="http://schemas.openxmlformats.org/officeDocument/2006/relationships/hyperlink" Target="Pass\TwoTypeObjObjTextRetTextObj.quorum" TargetMode="External"/><Relationship Id="rId43" Type="http://schemas.openxmlformats.org/officeDocument/2006/relationships/hyperlink" Target="Fail\TwoTypeObjObjBooleanRetnumberFail.quorum" TargetMode="External"/><Relationship Id="rId48" Type="http://schemas.openxmlformats.org/officeDocument/2006/relationships/hyperlink" Target="Fail\TwoTypeObjObjTextRetObjectFail.quorum" TargetMode="External"/><Relationship Id="rId64" Type="http://schemas.openxmlformats.org/officeDocument/2006/relationships/hyperlink" Target="Pass\TwoTypeObjPriBooleanRetIntObj.quorum" TargetMode="External"/><Relationship Id="rId69" Type="http://schemas.openxmlformats.org/officeDocument/2006/relationships/hyperlink" Target="Pass\TwoTypeObjPriTextRetinteger.quorum" TargetMode="External"/><Relationship Id="rId113" Type="http://schemas.openxmlformats.org/officeDocument/2006/relationships/hyperlink" Target="Fail\TwoTypeObjPriIntegerRetundefinedFail.quorum" TargetMode="External"/><Relationship Id="rId118" Type="http://schemas.openxmlformats.org/officeDocument/2006/relationships/hyperlink" Target="Pass\TwoTypePriObjBooleanRetboolean.quorum" TargetMode="External"/><Relationship Id="rId134" Type="http://schemas.openxmlformats.org/officeDocument/2006/relationships/hyperlink" Target="Pass\TwoTypePriObjIntegerRetObject.quorum" TargetMode="External"/><Relationship Id="rId139" Type="http://schemas.openxmlformats.org/officeDocument/2006/relationships/hyperlink" Target="Pass\TwoTypePriObjBooleanRetTextObj.quorum" TargetMode="External"/><Relationship Id="rId80" Type="http://schemas.openxmlformats.org/officeDocument/2006/relationships/hyperlink" Target="Pass\TwoTypeObjPriIntegerRettext.quorum" TargetMode="External"/><Relationship Id="rId85" Type="http://schemas.openxmlformats.org/officeDocument/2006/relationships/hyperlink" Target="Fail\TwoTypeObjPriBooleanRetBoolObjFail.quorum" TargetMode="External"/><Relationship Id="rId150" Type="http://schemas.openxmlformats.org/officeDocument/2006/relationships/hyperlink" Target="Fail\TwoTypePriObjTextRetIntObjFail.quorum" TargetMode="External"/><Relationship Id="rId155" Type="http://schemas.openxmlformats.org/officeDocument/2006/relationships/hyperlink" Target="Fail\TwoTypePriObjIntegerRetNumObjFail.quorum" TargetMode="External"/><Relationship Id="rId171" Type="http://schemas.openxmlformats.org/officeDocument/2006/relationships/hyperlink" Target="Fail\TwoTypePriObjTextRetundefinedFail.quorum" TargetMode="External"/><Relationship Id="rId176" Type="http://schemas.openxmlformats.org/officeDocument/2006/relationships/hyperlink" Target="Pass\TwoTypePriPriIntegerRetboolean.quorum" TargetMode="External"/><Relationship Id="rId192" Type="http://schemas.openxmlformats.org/officeDocument/2006/relationships/hyperlink" Target="Pass\TwoTypePriPriTextRetObject.quorum" TargetMode="External"/><Relationship Id="rId197" Type="http://schemas.openxmlformats.org/officeDocument/2006/relationships/hyperlink" Target="Pass\TwoTypePriPriIntegerRetTextObj.quorum" TargetMode="External"/><Relationship Id="rId206" Type="http://schemas.openxmlformats.org/officeDocument/2006/relationships/hyperlink" Target="Fail\TwoTypePriPriIntegerRetIntObjFail.quorum" TargetMode="External"/><Relationship Id="rId227" Type="http://schemas.openxmlformats.org/officeDocument/2006/relationships/hyperlink" Target="Fail\TwoTypePriPriIntegerRetundefinedFail.quorum" TargetMode="External"/><Relationship Id="rId201" Type="http://schemas.openxmlformats.org/officeDocument/2006/relationships/hyperlink" Target="Fail\TwoTypePriPriTextRetBoolObjFail.quorum" TargetMode="External"/><Relationship Id="rId222" Type="http://schemas.openxmlformats.org/officeDocument/2006/relationships/hyperlink" Target="Fail\TwoTypePriPriTextRettextFail.quorum" TargetMode="External"/><Relationship Id="rId12" Type="http://schemas.openxmlformats.org/officeDocument/2006/relationships/hyperlink" Target="Pass\TwoTypeObjObjTextRetinteger.quorum" TargetMode="External"/><Relationship Id="rId17" Type="http://schemas.openxmlformats.org/officeDocument/2006/relationships/hyperlink" Target="Pass\TwoTypeObjObjIntegerRetnumber.quorum" TargetMode="External"/><Relationship Id="rId33" Type="http://schemas.openxmlformats.org/officeDocument/2006/relationships/hyperlink" Target="Fail\TwoTypeObjObjTextRetbooleanFail.quorum" TargetMode="External"/><Relationship Id="rId38" Type="http://schemas.openxmlformats.org/officeDocument/2006/relationships/hyperlink" Target="Fail\TwoTypeObjObjIntegerRetintegerFail.quorum" TargetMode="External"/><Relationship Id="rId59" Type="http://schemas.openxmlformats.org/officeDocument/2006/relationships/hyperlink" Target="Pass\TwoTypeObjPriIntegerRetBoolObj.quorum" TargetMode="External"/><Relationship Id="rId103" Type="http://schemas.openxmlformats.org/officeDocument/2006/relationships/hyperlink" Target="Fail\TwoTypeObjPriBooleanRetObjectFail.quorum" TargetMode="External"/><Relationship Id="rId108" Type="http://schemas.openxmlformats.org/officeDocument/2006/relationships/hyperlink" Target="Fail\TwoTypeObjPriTextRettextFail.quorum" TargetMode="External"/><Relationship Id="rId124" Type="http://schemas.openxmlformats.org/officeDocument/2006/relationships/hyperlink" Target="Pass\TwoTypePriObjBooleanRetinteger.quorum" TargetMode="External"/><Relationship Id="rId129" Type="http://schemas.openxmlformats.org/officeDocument/2006/relationships/hyperlink" Target="Pass\TwoTypePriObjTextRetNumObj.quorum" TargetMode="External"/><Relationship Id="rId54" Type="http://schemas.openxmlformats.org/officeDocument/2006/relationships/hyperlink" Target="Fail\TwoTypeObjObjTextRetTextObjFail.quorum" TargetMode="External"/><Relationship Id="rId70" Type="http://schemas.openxmlformats.org/officeDocument/2006/relationships/hyperlink" Target="Pass\TwoTypeObjPriBooleanRetNumObj.quorum" TargetMode="External"/><Relationship Id="rId75" Type="http://schemas.openxmlformats.org/officeDocument/2006/relationships/hyperlink" Target="Pass\TwoTypeObjPriTextRetnumber.quorum" TargetMode="External"/><Relationship Id="rId91" Type="http://schemas.openxmlformats.org/officeDocument/2006/relationships/hyperlink" Target="Fail\TwoTypeObjPriBooleanRetIntObjFail.quorum" TargetMode="External"/><Relationship Id="rId96" Type="http://schemas.openxmlformats.org/officeDocument/2006/relationships/hyperlink" Target="Fail\TwoTypeObjPriTextRetintegerFail.quorum" TargetMode="External"/><Relationship Id="rId140" Type="http://schemas.openxmlformats.org/officeDocument/2006/relationships/hyperlink" Target="Pass\TwoTypePriObjIntegerRetTextObj.quorum" TargetMode="External"/><Relationship Id="rId145" Type="http://schemas.openxmlformats.org/officeDocument/2006/relationships/hyperlink" Target="Fail\TwoTypePriObjBooleanRetbooleanFail.quorum" TargetMode="External"/><Relationship Id="rId161" Type="http://schemas.openxmlformats.org/officeDocument/2006/relationships/hyperlink" Target="Fail\TwoTypePriObjIntegerRetObjectFail.quorum" TargetMode="External"/><Relationship Id="rId166" Type="http://schemas.openxmlformats.org/officeDocument/2006/relationships/hyperlink" Target="Fail\TwoTypePriObjBooleanRetTextObjFail.quorum" TargetMode="External"/><Relationship Id="rId182" Type="http://schemas.openxmlformats.org/officeDocument/2006/relationships/hyperlink" Target="Pass\TwoTypePriPriIntegerRetinteger.quorum" TargetMode="External"/><Relationship Id="rId187" Type="http://schemas.openxmlformats.org/officeDocument/2006/relationships/hyperlink" Target="Pass\TwoTypePriPriBooleanRetnumber.quorum" TargetMode="External"/><Relationship Id="rId217" Type="http://schemas.openxmlformats.org/officeDocument/2006/relationships/hyperlink" Target="Fail\TwoTypePriPriBooleanRetObjectFail.quorum" TargetMode="External"/><Relationship Id="rId1" Type="http://schemas.openxmlformats.org/officeDocument/2006/relationships/hyperlink" Target="Pass\TwoTypeObjObjBooleanRetBoolObj.quorum" TargetMode="External"/><Relationship Id="rId6" Type="http://schemas.openxmlformats.org/officeDocument/2006/relationships/hyperlink" Target="Pass\TwoTypeObjObjTextRetboolean.quorum" TargetMode="External"/><Relationship Id="rId212" Type="http://schemas.openxmlformats.org/officeDocument/2006/relationships/hyperlink" Target="Fail\TwoTypePriPriIntegerRetNumObjFail.quorum" TargetMode="External"/><Relationship Id="rId23" Type="http://schemas.openxmlformats.org/officeDocument/2006/relationships/hyperlink" Target="Pass\TwoTypeObjObjIntegerRettext.quorum" TargetMode="External"/><Relationship Id="rId28" Type="http://schemas.openxmlformats.org/officeDocument/2006/relationships/hyperlink" Target="Fail\TwoTypeObjObjBooleanRetBoolObjFail.quorum" TargetMode="External"/><Relationship Id="rId49" Type="http://schemas.openxmlformats.org/officeDocument/2006/relationships/hyperlink" Target="Fail\TwoTypeObjObjBooleanRettextFail.quorum" TargetMode="External"/><Relationship Id="rId114" Type="http://schemas.openxmlformats.org/officeDocument/2006/relationships/hyperlink" Target="Fail\TwoTypeObjPriTextRetundefinedFail.quorum" TargetMode="External"/><Relationship Id="rId119" Type="http://schemas.openxmlformats.org/officeDocument/2006/relationships/hyperlink" Target="Pass\TwoTypePriObjIntegerRetboolean.quorum" TargetMode="External"/><Relationship Id="rId44" Type="http://schemas.openxmlformats.org/officeDocument/2006/relationships/hyperlink" Target="Fail\TwoTypeObjObjIntegerRetnumberFail.quorum" TargetMode="External"/><Relationship Id="rId60" Type="http://schemas.openxmlformats.org/officeDocument/2006/relationships/hyperlink" Target="Pass\TwoTypeObjPriTextRetBoolObj.quorum" TargetMode="External"/><Relationship Id="rId65" Type="http://schemas.openxmlformats.org/officeDocument/2006/relationships/hyperlink" Target="Pass\TwoTypeObjPriIntegerRetIntObj.quorum" TargetMode="External"/><Relationship Id="rId81" Type="http://schemas.openxmlformats.org/officeDocument/2006/relationships/hyperlink" Target="Pass\TwoTypeObjPriTextRettext.quorum" TargetMode="External"/><Relationship Id="rId86" Type="http://schemas.openxmlformats.org/officeDocument/2006/relationships/hyperlink" Target="Fail\TwoTypeObjPriIntegerRetBoolObjFail.quorum" TargetMode="External"/><Relationship Id="rId130" Type="http://schemas.openxmlformats.org/officeDocument/2006/relationships/hyperlink" Target="Pass\TwoTypePriObjBooleanRetnumber.quorum" TargetMode="External"/><Relationship Id="rId135" Type="http://schemas.openxmlformats.org/officeDocument/2006/relationships/hyperlink" Target="Pass\TwoTypePriObjTextRetObject.quorum" TargetMode="External"/><Relationship Id="rId151" Type="http://schemas.openxmlformats.org/officeDocument/2006/relationships/hyperlink" Target="Fail\TwoTypePriObjBooleanRetintegerFail.quorum" TargetMode="External"/><Relationship Id="rId156" Type="http://schemas.openxmlformats.org/officeDocument/2006/relationships/hyperlink" Target="Fail\TwoTypePriObjTextRetNumObjFail.quorum" TargetMode="External"/><Relationship Id="rId177" Type="http://schemas.openxmlformats.org/officeDocument/2006/relationships/hyperlink" Target="Pass\TwoTypePriPriTextRetboolean.quorum" TargetMode="External"/><Relationship Id="rId198" Type="http://schemas.openxmlformats.org/officeDocument/2006/relationships/hyperlink" Target="Pass\TwoTypePriPriTextRetTextObj.quorum" TargetMode="External"/><Relationship Id="rId172" Type="http://schemas.openxmlformats.org/officeDocument/2006/relationships/hyperlink" Target="Pass\TwoTypePriPriBooleanRetBoolObj.quorum" TargetMode="External"/><Relationship Id="rId193" Type="http://schemas.openxmlformats.org/officeDocument/2006/relationships/hyperlink" Target="Pass\TwoTypePriPriBooleanRettext.quorum" TargetMode="External"/><Relationship Id="rId202" Type="http://schemas.openxmlformats.org/officeDocument/2006/relationships/hyperlink" Target="Fail\TwoTypePriPriBooleanRetbooleanFail.quorum" TargetMode="External"/><Relationship Id="rId207" Type="http://schemas.openxmlformats.org/officeDocument/2006/relationships/hyperlink" Target="Fail\TwoTypePriPriTextRetIntObjFail.quorum" TargetMode="External"/><Relationship Id="rId223" Type="http://schemas.openxmlformats.org/officeDocument/2006/relationships/hyperlink" Target="Fail\TwoTypePriPriBooleanRetTextObjFail.quorum" TargetMode="External"/><Relationship Id="rId228" Type="http://schemas.openxmlformats.org/officeDocument/2006/relationships/hyperlink" Target="Fail\TwoTypePriPriTextRetundefinedFail.quorum" TargetMode="External"/><Relationship Id="rId13" Type="http://schemas.openxmlformats.org/officeDocument/2006/relationships/hyperlink" Target="Pass\TwoTypeObjObjBooleanRetNumObj.quorum" TargetMode="External"/><Relationship Id="rId18" Type="http://schemas.openxmlformats.org/officeDocument/2006/relationships/hyperlink" Target="Pass\TwoTypeObjObjTextRetnumber.quorum" TargetMode="External"/><Relationship Id="rId39" Type="http://schemas.openxmlformats.org/officeDocument/2006/relationships/hyperlink" Target="Fail\TwoTypeObjObjTextRetintegerFail.quorum" TargetMode="External"/><Relationship Id="rId109" Type="http://schemas.openxmlformats.org/officeDocument/2006/relationships/hyperlink" Target="Fail\TwoTypeObjPriBooleanRetTextObjFail.quorum" TargetMode="External"/><Relationship Id="rId34" Type="http://schemas.openxmlformats.org/officeDocument/2006/relationships/hyperlink" Target="Fail\TwoTypeObjObjBooleanRetIntObjFail.quorum" TargetMode="External"/><Relationship Id="rId50" Type="http://schemas.openxmlformats.org/officeDocument/2006/relationships/hyperlink" Target="Fail\TwoTypeObjObjIntegerRettextFail.quorum" TargetMode="External"/><Relationship Id="rId55" Type="http://schemas.openxmlformats.org/officeDocument/2006/relationships/hyperlink" Target="Fail\TwoTypeObjObjBooleanRetundefinedFail.quorum" TargetMode="External"/><Relationship Id="rId76" Type="http://schemas.openxmlformats.org/officeDocument/2006/relationships/hyperlink" Target="Pass\TwoTypeObjPriBooleanRetObject.quorum" TargetMode="External"/><Relationship Id="rId97" Type="http://schemas.openxmlformats.org/officeDocument/2006/relationships/hyperlink" Target="Fail\TwoTypeObjPriBooleanRetNumObjFail.quorum" TargetMode="External"/><Relationship Id="rId104" Type="http://schemas.openxmlformats.org/officeDocument/2006/relationships/hyperlink" Target="Fail\TwoTypeObjPriIntegerRetObjectFail.quorum" TargetMode="External"/><Relationship Id="rId120" Type="http://schemas.openxmlformats.org/officeDocument/2006/relationships/hyperlink" Target="Pass\TwoTypePriObjTextRetboolean.quorum" TargetMode="External"/><Relationship Id="rId125" Type="http://schemas.openxmlformats.org/officeDocument/2006/relationships/hyperlink" Target="Pass\TwoTypePriObjIntegerRetinteger.quorum" TargetMode="External"/><Relationship Id="rId141" Type="http://schemas.openxmlformats.org/officeDocument/2006/relationships/hyperlink" Target="Pass\TwoTypePriObjTextRetTextObj.quorum" TargetMode="External"/><Relationship Id="rId146" Type="http://schemas.openxmlformats.org/officeDocument/2006/relationships/hyperlink" Target="Fail\TwoTypePriObjIntegerRetbooleanFail.quorum" TargetMode="External"/><Relationship Id="rId167" Type="http://schemas.openxmlformats.org/officeDocument/2006/relationships/hyperlink" Target="Fail\TwoTypePriObjIntegerRetTextObjFail.quorum" TargetMode="External"/><Relationship Id="rId188" Type="http://schemas.openxmlformats.org/officeDocument/2006/relationships/hyperlink" Target="Pass\TwoTypePriPriIntegerRetnumber.quorum" TargetMode="External"/><Relationship Id="rId7" Type="http://schemas.openxmlformats.org/officeDocument/2006/relationships/hyperlink" Target="Pass\TwoTypeObjObjBooleanRetIntObj.quorum" TargetMode="External"/><Relationship Id="rId71" Type="http://schemas.openxmlformats.org/officeDocument/2006/relationships/hyperlink" Target="Pass\TwoTypeObjPriIntegerRetNumObj.quorum" TargetMode="External"/><Relationship Id="rId92" Type="http://schemas.openxmlformats.org/officeDocument/2006/relationships/hyperlink" Target="Fail\TwoTypeObjPriIntegerRetIntObjFail.quorum" TargetMode="External"/><Relationship Id="rId162" Type="http://schemas.openxmlformats.org/officeDocument/2006/relationships/hyperlink" Target="Fail\TwoTypePriObjTextRetObjectFail.quorum" TargetMode="External"/><Relationship Id="rId183" Type="http://schemas.openxmlformats.org/officeDocument/2006/relationships/hyperlink" Target="Pass\TwoTypePriPriTextRetinteger.quorum" TargetMode="External"/><Relationship Id="rId213" Type="http://schemas.openxmlformats.org/officeDocument/2006/relationships/hyperlink" Target="Fail\TwoTypePriPriTextRetNumObjFail.quorum" TargetMode="External"/><Relationship Id="rId218" Type="http://schemas.openxmlformats.org/officeDocument/2006/relationships/hyperlink" Target="Fail\TwoTypePriPriIntegerRetObjectFail.quorum" TargetMode="External"/><Relationship Id="rId2" Type="http://schemas.openxmlformats.org/officeDocument/2006/relationships/hyperlink" Target="Pass\TwoTypeObjObjIntegerRetBoolObj.quorum" TargetMode="External"/><Relationship Id="rId29" Type="http://schemas.openxmlformats.org/officeDocument/2006/relationships/hyperlink" Target="Fail\TwoTypeObjObjIntegerRetBoolObjFail.quorum" TargetMode="External"/><Relationship Id="rId24" Type="http://schemas.openxmlformats.org/officeDocument/2006/relationships/hyperlink" Target="Pass\TwoTypeObjObjTextRettext.quorum" TargetMode="External"/><Relationship Id="rId40" Type="http://schemas.openxmlformats.org/officeDocument/2006/relationships/hyperlink" Target="Fail\TwoTypeObjObjBooleanRetNumObjFail.quorum" TargetMode="External"/><Relationship Id="rId45" Type="http://schemas.openxmlformats.org/officeDocument/2006/relationships/hyperlink" Target="Fail\TwoTypeObjObjTextRetnumberFail.quorum" TargetMode="External"/><Relationship Id="rId66" Type="http://schemas.openxmlformats.org/officeDocument/2006/relationships/hyperlink" Target="Pass\TwoTypeObjPriTextRetIntObj.quorum" TargetMode="External"/><Relationship Id="rId87" Type="http://schemas.openxmlformats.org/officeDocument/2006/relationships/hyperlink" Target="Fail\TwoTypeObjPriTextRetBoolObjFail.quorum" TargetMode="External"/><Relationship Id="rId110" Type="http://schemas.openxmlformats.org/officeDocument/2006/relationships/hyperlink" Target="Fail\TwoTypeObjPriIntegerRetTextObjFail.quorum" TargetMode="External"/><Relationship Id="rId115" Type="http://schemas.openxmlformats.org/officeDocument/2006/relationships/hyperlink" Target="Pass\TwoTypePriObjBooleanRetBoolObj.quorum" TargetMode="External"/><Relationship Id="rId131" Type="http://schemas.openxmlformats.org/officeDocument/2006/relationships/hyperlink" Target="Pass\TwoTypePriObjIntegerRetnumber.quorum" TargetMode="External"/><Relationship Id="rId136" Type="http://schemas.openxmlformats.org/officeDocument/2006/relationships/hyperlink" Target="Pass\TwoTypePriObjBooleanRettext.quorum" TargetMode="External"/><Relationship Id="rId157" Type="http://schemas.openxmlformats.org/officeDocument/2006/relationships/hyperlink" Target="Fail\TwoTypePriObjBooleanRetnumberFail.quorum" TargetMode="External"/><Relationship Id="rId178" Type="http://schemas.openxmlformats.org/officeDocument/2006/relationships/hyperlink" Target="Pass\TwoTypePriPriBooleanRetIntObj.quorum" TargetMode="External"/><Relationship Id="rId61" Type="http://schemas.openxmlformats.org/officeDocument/2006/relationships/hyperlink" Target="Pass\TwoTypeObjPriBooleanRetboolean.quorum" TargetMode="External"/><Relationship Id="rId82" Type="http://schemas.openxmlformats.org/officeDocument/2006/relationships/hyperlink" Target="Pass\TwoTypeObjPriBooleanRetTextObj.quorum" TargetMode="External"/><Relationship Id="rId152" Type="http://schemas.openxmlformats.org/officeDocument/2006/relationships/hyperlink" Target="Fail\TwoTypePriObjIntegerRetintegerFail.quorum" TargetMode="External"/><Relationship Id="rId173" Type="http://schemas.openxmlformats.org/officeDocument/2006/relationships/hyperlink" Target="Pass\TwoTypePriPriIntegerRetBoolObj.quorum" TargetMode="External"/><Relationship Id="rId194" Type="http://schemas.openxmlformats.org/officeDocument/2006/relationships/hyperlink" Target="Pass\TwoTypePriPriIntegerRettext.quorum" TargetMode="External"/><Relationship Id="rId199" Type="http://schemas.openxmlformats.org/officeDocument/2006/relationships/hyperlink" Target="Fail\TwoTypePriPriBooleanRetBoolObjFail.quorum" TargetMode="External"/><Relationship Id="rId203" Type="http://schemas.openxmlformats.org/officeDocument/2006/relationships/hyperlink" Target="Fail\TwoTypePriPriIntegerRetbooleanFail.quorum" TargetMode="External"/><Relationship Id="rId208" Type="http://schemas.openxmlformats.org/officeDocument/2006/relationships/hyperlink" Target="Fail\TwoTypePriPriBooleanRetintegerFail.quorum" TargetMode="External"/><Relationship Id="rId229" Type="http://schemas.openxmlformats.org/officeDocument/2006/relationships/printerSettings" Target="../printerSettings/printerSettings1.bin"/><Relationship Id="rId19" Type="http://schemas.openxmlformats.org/officeDocument/2006/relationships/hyperlink" Target="Pass\TwoTypeObjObjBooleanRetObject.quorum" TargetMode="External"/><Relationship Id="rId224" Type="http://schemas.openxmlformats.org/officeDocument/2006/relationships/hyperlink" Target="Fail\TwoTypePriPriIntegerRetTextObjFail.quorum" TargetMode="External"/><Relationship Id="rId14" Type="http://schemas.openxmlformats.org/officeDocument/2006/relationships/hyperlink" Target="Pass\TwoTypeObjObjIntegerRetNumObj.quorum" TargetMode="External"/><Relationship Id="rId30" Type="http://schemas.openxmlformats.org/officeDocument/2006/relationships/hyperlink" Target="Fail\TwoTypeObjObjTextRetBoolObjFail.quorum" TargetMode="External"/><Relationship Id="rId35" Type="http://schemas.openxmlformats.org/officeDocument/2006/relationships/hyperlink" Target="Fail\TwoTypeObjObjIntegerRetIntObjFail.quorum" TargetMode="External"/><Relationship Id="rId56" Type="http://schemas.openxmlformats.org/officeDocument/2006/relationships/hyperlink" Target="Fail\TwoTypeObjObjIntegerRetundefinedFail.quorum" TargetMode="External"/><Relationship Id="rId77" Type="http://schemas.openxmlformats.org/officeDocument/2006/relationships/hyperlink" Target="Pass\TwoTypeObjPriIntegerRetObject.quorum" TargetMode="External"/><Relationship Id="rId100" Type="http://schemas.openxmlformats.org/officeDocument/2006/relationships/hyperlink" Target="Fail\TwoTypeObjPriBooleanRetnumberFail.quorum" TargetMode="External"/><Relationship Id="rId105" Type="http://schemas.openxmlformats.org/officeDocument/2006/relationships/hyperlink" Target="Fail\TwoTypeObjPriTextRetObjectFail.quorum" TargetMode="External"/><Relationship Id="rId126" Type="http://schemas.openxmlformats.org/officeDocument/2006/relationships/hyperlink" Target="Pass\TwoTypePriObjTextRetinteger.quorum" TargetMode="External"/><Relationship Id="rId147" Type="http://schemas.openxmlformats.org/officeDocument/2006/relationships/hyperlink" Target="Fail\TwoTypePriObjTextRetbooleanFail.quorum" TargetMode="External"/><Relationship Id="rId168" Type="http://schemas.openxmlformats.org/officeDocument/2006/relationships/hyperlink" Target="Fail\TwoTypePriObjTextRetTextObjFail.quorum" TargetMode="External"/><Relationship Id="rId8" Type="http://schemas.openxmlformats.org/officeDocument/2006/relationships/hyperlink" Target="Pass\TwoTypeObjObjIntegerRetIntObj.quorum" TargetMode="External"/><Relationship Id="rId51" Type="http://schemas.openxmlformats.org/officeDocument/2006/relationships/hyperlink" Target="Fail\TwoTypeObjObjTextRettextFail.quorum" TargetMode="External"/><Relationship Id="rId72" Type="http://schemas.openxmlformats.org/officeDocument/2006/relationships/hyperlink" Target="Pass\TwoTypeObjPriTextRetNumObj.quorum" TargetMode="External"/><Relationship Id="rId93" Type="http://schemas.openxmlformats.org/officeDocument/2006/relationships/hyperlink" Target="Fail\TwoTypeObjPriTextRetIntObjFail.quorum" TargetMode="External"/><Relationship Id="rId98" Type="http://schemas.openxmlformats.org/officeDocument/2006/relationships/hyperlink" Target="Fail\TwoTypeObjPriIntegerRetNumObjFail.quorum" TargetMode="External"/><Relationship Id="rId121" Type="http://schemas.openxmlformats.org/officeDocument/2006/relationships/hyperlink" Target="Pass\TwoTypePriObjBooleanRetIntObj.quorum" TargetMode="External"/><Relationship Id="rId142" Type="http://schemas.openxmlformats.org/officeDocument/2006/relationships/hyperlink" Target="Fail\TwoTypePriObjBooleanRetBoolObjFail.quorum" TargetMode="External"/><Relationship Id="rId163" Type="http://schemas.openxmlformats.org/officeDocument/2006/relationships/hyperlink" Target="Fail\TwoTypePriObjBooleanRettextFail.quorum" TargetMode="External"/><Relationship Id="rId184" Type="http://schemas.openxmlformats.org/officeDocument/2006/relationships/hyperlink" Target="Pass\TwoTypePriPriBooleanRetNumObj.quorum" TargetMode="External"/><Relationship Id="rId189" Type="http://schemas.openxmlformats.org/officeDocument/2006/relationships/hyperlink" Target="Pass\TwoTypePriPriTextRetnumber.quorum" TargetMode="External"/><Relationship Id="rId219" Type="http://schemas.openxmlformats.org/officeDocument/2006/relationships/hyperlink" Target="Fail\TwoTypePriPriTextRetObjectFail.quorum" TargetMode="External"/><Relationship Id="rId3" Type="http://schemas.openxmlformats.org/officeDocument/2006/relationships/hyperlink" Target="Pass\TwoTypeObjObjTextRetBoolObj.quorum" TargetMode="External"/><Relationship Id="rId214" Type="http://schemas.openxmlformats.org/officeDocument/2006/relationships/hyperlink" Target="Fail\TwoTypePriPriBooleanRetnumberFail.quorum" TargetMode="External"/><Relationship Id="rId25" Type="http://schemas.openxmlformats.org/officeDocument/2006/relationships/hyperlink" Target="Pass\TwoTypeObjObjBooleanRetTextObj.quorum" TargetMode="External"/><Relationship Id="rId46" Type="http://schemas.openxmlformats.org/officeDocument/2006/relationships/hyperlink" Target="Fail\TwoTypeObjObjBooleanRetObjectFail.quorum" TargetMode="External"/><Relationship Id="rId67" Type="http://schemas.openxmlformats.org/officeDocument/2006/relationships/hyperlink" Target="Pass\TwoTypeObjPriBooleanRetinteger.quorum" TargetMode="External"/><Relationship Id="rId116" Type="http://schemas.openxmlformats.org/officeDocument/2006/relationships/hyperlink" Target="Pass\TwoTypePriObjIntegerRetBoolObj.quorum" TargetMode="External"/><Relationship Id="rId137" Type="http://schemas.openxmlformats.org/officeDocument/2006/relationships/hyperlink" Target="Pass\TwoTypePriObjIntegerRettext.quorum" TargetMode="External"/><Relationship Id="rId158" Type="http://schemas.openxmlformats.org/officeDocument/2006/relationships/hyperlink" Target="Fail\TwoTypePriObjIntegerRetnumberFail.quorum" TargetMode="External"/><Relationship Id="rId20" Type="http://schemas.openxmlformats.org/officeDocument/2006/relationships/hyperlink" Target="Pass\TwoTypeObjObjIntegerRetObject.quorum" TargetMode="External"/><Relationship Id="rId41" Type="http://schemas.openxmlformats.org/officeDocument/2006/relationships/hyperlink" Target="Fail\TwoTypeObjObjIntegerRetNumObjFail.quorum" TargetMode="External"/><Relationship Id="rId62" Type="http://schemas.openxmlformats.org/officeDocument/2006/relationships/hyperlink" Target="Pass\TwoTypeObjPriIntegerRetboolean.quorum" TargetMode="External"/><Relationship Id="rId83" Type="http://schemas.openxmlformats.org/officeDocument/2006/relationships/hyperlink" Target="Pass\TwoTypeObjPriIntegerRetTextObj.quorum" TargetMode="External"/><Relationship Id="rId88" Type="http://schemas.openxmlformats.org/officeDocument/2006/relationships/hyperlink" Target="Fail\TwoTypeObjPriBooleanRetbooleanFail.quorum" TargetMode="External"/><Relationship Id="rId111" Type="http://schemas.openxmlformats.org/officeDocument/2006/relationships/hyperlink" Target="Fail\TwoTypeObjPriTextRetTextObjFail.quorum" TargetMode="External"/><Relationship Id="rId132" Type="http://schemas.openxmlformats.org/officeDocument/2006/relationships/hyperlink" Target="Pass\TwoTypePriObjTextRetnumber.quorum" TargetMode="External"/><Relationship Id="rId153" Type="http://schemas.openxmlformats.org/officeDocument/2006/relationships/hyperlink" Target="Fail\TwoTypePriObjTextRetintegerFail.quorum" TargetMode="External"/><Relationship Id="rId174" Type="http://schemas.openxmlformats.org/officeDocument/2006/relationships/hyperlink" Target="Pass\TwoTypePriPriTextRetBoolObj.quorum" TargetMode="External"/><Relationship Id="rId179" Type="http://schemas.openxmlformats.org/officeDocument/2006/relationships/hyperlink" Target="Pass\TwoTypePriPriIntegerRetIntObj.quorum" TargetMode="External"/><Relationship Id="rId195" Type="http://schemas.openxmlformats.org/officeDocument/2006/relationships/hyperlink" Target="Pass\TwoTypePriPriTextRettext.quorum" TargetMode="External"/><Relationship Id="rId209" Type="http://schemas.openxmlformats.org/officeDocument/2006/relationships/hyperlink" Target="Fail\TwoTypePriPriIntegerRetintegerFail.quorum" TargetMode="External"/><Relationship Id="rId190" Type="http://schemas.openxmlformats.org/officeDocument/2006/relationships/hyperlink" Target="Pass\TwoTypePriPriBooleanRetObject.quorum" TargetMode="External"/><Relationship Id="rId204" Type="http://schemas.openxmlformats.org/officeDocument/2006/relationships/hyperlink" Target="Fail\TwoTypePriPriTextRetbooleanFail.quorum" TargetMode="External"/><Relationship Id="rId220" Type="http://schemas.openxmlformats.org/officeDocument/2006/relationships/hyperlink" Target="Fail\TwoTypePriPriBooleanRettextFail.quorum" TargetMode="External"/><Relationship Id="rId225" Type="http://schemas.openxmlformats.org/officeDocument/2006/relationships/hyperlink" Target="Fail\TwoTypePriPriTextRetTextObjFail.quorum" TargetMode="External"/><Relationship Id="rId15" Type="http://schemas.openxmlformats.org/officeDocument/2006/relationships/hyperlink" Target="Pass\TwoTypeObjObjTextRetNumObj.quorum" TargetMode="External"/><Relationship Id="rId36" Type="http://schemas.openxmlformats.org/officeDocument/2006/relationships/hyperlink" Target="Fail\TwoTypeObjObjTextRetIntObjFail.quorum" TargetMode="External"/><Relationship Id="rId57" Type="http://schemas.openxmlformats.org/officeDocument/2006/relationships/hyperlink" Target="Fail\TwoTypeObjObjTextRetundefinedFail.quorum" TargetMode="External"/><Relationship Id="rId106" Type="http://schemas.openxmlformats.org/officeDocument/2006/relationships/hyperlink" Target="Fail\TwoTypeObjPriBooleanRettextFail.quorum" TargetMode="External"/><Relationship Id="rId127" Type="http://schemas.openxmlformats.org/officeDocument/2006/relationships/hyperlink" Target="Pass\TwoTypePriObjBooleanRetNumObj.quorum" TargetMode="External"/><Relationship Id="rId10" Type="http://schemas.openxmlformats.org/officeDocument/2006/relationships/hyperlink" Target="Pass\TwoTypeObjObjBooleanRetinteger.quorum" TargetMode="External"/><Relationship Id="rId31" Type="http://schemas.openxmlformats.org/officeDocument/2006/relationships/hyperlink" Target="Fail\TwoTypeObjObjBooleanRetbooleanFail.quorum" TargetMode="External"/><Relationship Id="rId52" Type="http://schemas.openxmlformats.org/officeDocument/2006/relationships/hyperlink" Target="Fail\TwoTypeObjObjBooleanRetTextObjFail.quorum" TargetMode="External"/><Relationship Id="rId73" Type="http://schemas.openxmlformats.org/officeDocument/2006/relationships/hyperlink" Target="Pass\TwoTypeObjPriBooleanRetnumber.quorum" TargetMode="External"/><Relationship Id="rId78" Type="http://schemas.openxmlformats.org/officeDocument/2006/relationships/hyperlink" Target="Pass\TwoTypeObjPriTextRetObject.quorum" TargetMode="External"/><Relationship Id="rId94" Type="http://schemas.openxmlformats.org/officeDocument/2006/relationships/hyperlink" Target="Fail\TwoTypeObjPriBooleanRetintegerFail.quorum" TargetMode="External"/><Relationship Id="rId99" Type="http://schemas.openxmlformats.org/officeDocument/2006/relationships/hyperlink" Target="Fail\TwoTypeObjPriTextRetNumObjFail.quorum" TargetMode="External"/><Relationship Id="rId101" Type="http://schemas.openxmlformats.org/officeDocument/2006/relationships/hyperlink" Target="Fail\TwoTypeObjPriIntegerRetnumberFail.quorum" TargetMode="External"/><Relationship Id="rId122" Type="http://schemas.openxmlformats.org/officeDocument/2006/relationships/hyperlink" Target="Pass\TwoTypePriObjIntegerRetIntObj.quorum" TargetMode="External"/><Relationship Id="rId143" Type="http://schemas.openxmlformats.org/officeDocument/2006/relationships/hyperlink" Target="Fail\TwoTypePriObjIntegerRetBoolObjFail.quorum" TargetMode="External"/><Relationship Id="rId148" Type="http://schemas.openxmlformats.org/officeDocument/2006/relationships/hyperlink" Target="Fail\TwoTypePriObjBooleanRetIntObjFail.quorum" TargetMode="External"/><Relationship Id="rId164" Type="http://schemas.openxmlformats.org/officeDocument/2006/relationships/hyperlink" Target="Fail\TwoTypePriObjIntegerRettextFail.quorum" TargetMode="External"/><Relationship Id="rId169" Type="http://schemas.openxmlformats.org/officeDocument/2006/relationships/hyperlink" Target="Fail\TwoTypePriObjBooleanRetundefinedFail.quorum" TargetMode="External"/><Relationship Id="rId185" Type="http://schemas.openxmlformats.org/officeDocument/2006/relationships/hyperlink" Target="Pass\TwoTypePriPriIntegerRetNumObj.quorum" TargetMode="External"/><Relationship Id="rId4" Type="http://schemas.openxmlformats.org/officeDocument/2006/relationships/hyperlink" Target="Pass\TwoTypeObjObjBooleanRetboolean.quorum" TargetMode="External"/><Relationship Id="rId9" Type="http://schemas.openxmlformats.org/officeDocument/2006/relationships/hyperlink" Target="Pass\TwoTypeObjObjTextRetIntObj.quorum" TargetMode="External"/><Relationship Id="rId180" Type="http://schemas.openxmlformats.org/officeDocument/2006/relationships/hyperlink" Target="Pass\TwoTypePriPriTextRetIntObj.quorum" TargetMode="External"/><Relationship Id="rId210" Type="http://schemas.openxmlformats.org/officeDocument/2006/relationships/hyperlink" Target="Fail\TwoTypePriPriTextRetintegerFail.quorum" TargetMode="External"/><Relationship Id="rId215" Type="http://schemas.openxmlformats.org/officeDocument/2006/relationships/hyperlink" Target="Fail\TwoTypePriPriIntegerRetnumberFail.quorum" TargetMode="External"/><Relationship Id="rId26" Type="http://schemas.openxmlformats.org/officeDocument/2006/relationships/hyperlink" Target="Pass\TwoTypeObjObjIntegerRetTextObj.quorum" TargetMode="External"/><Relationship Id="rId47" Type="http://schemas.openxmlformats.org/officeDocument/2006/relationships/hyperlink" Target="Fail\TwoTypeObjObjIntegerRetObjectFail.quorum" TargetMode="External"/><Relationship Id="rId68" Type="http://schemas.openxmlformats.org/officeDocument/2006/relationships/hyperlink" Target="Pass\TwoTypeObjPriIntegerRetinteger.quorum" TargetMode="External"/><Relationship Id="rId89" Type="http://schemas.openxmlformats.org/officeDocument/2006/relationships/hyperlink" Target="Fail\TwoTypeObjPriIntegerRetbooleanFail.quorum" TargetMode="External"/><Relationship Id="rId112" Type="http://schemas.openxmlformats.org/officeDocument/2006/relationships/hyperlink" Target="Fail\TwoTypeObjPriBooleanRetundefinedFail.quorum" TargetMode="External"/><Relationship Id="rId133" Type="http://schemas.openxmlformats.org/officeDocument/2006/relationships/hyperlink" Target="Pass\TwoTypePriObjBooleanRetObject.quorum" TargetMode="External"/><Relationship Id="rId154" Type="http://schemas.openxmlformats.org/officeDocument/2006/relationships/hyperlink" Target="Fail\TwoTypePriObjBooleanRetNumObjFail.quorum" TargetMode="External"/><Relationship Id="rId175" Type="http://schemas.openxmlformats.org/officeDocument/2006/relationships/hyperlink" Target="Pass\TwoTypePriPriBooleanRetboolean.quorum" TargetMode="External"/><Relationship Id="rId196" Type="http://schemas.openxmlformats.org/officeDocument/2006/relationships/hyperlink" Target="Pass\TwoTypePriPriBooleanRetTextObj.quorum" TargetMode="External"/><Relationship Id="rId200" Type="http://schemas.openxmlformats.org/officeDocument/2006/relationships/hyperlink" Target="Fail\TwoTypePriPriIntegerRetBoolObjFail.quorum" TargetMode="External"/><Relationship Id="rId16" Type="http://schemas.openxmlformats.org/officeDocument/2006/relationships/hyperlink" Target="Pass\TwoTypeObjObjBooleanRetnumber.quorum" TargetMode="External"/><Relationship Id="rId221" Type="http://schemas.openxmlformats.org/officeDocument/2006/relationships/hyperlink" Target="Fail\TwoTypePriPriIntegerRettextFail.quorum" TargetMode="External"/><Relationship Id="rId37" Type="http://schemas.openxmlformats.org/officeDocument/2006/relationships/hyperlink" Target="Fail\TwoTypeObjObjBooleanRetintegerFail.quorum" TargetMode="External"/><Relationship Id="rId58" Type="http://schemas.openxmlformats.org/officeDocument/2006/relationships/hyperlink" Target="Pass\TwoTypeObjPriBooleanRetBoolObj.quorum" TargetMode="External"/><Relationship Id="rId79" Type="http://schemas.openxmlformats.org/officeDocument/2006/relationships/hyperlink" Target="Pass\TwoTypeObjPriBooleanRettext.quorum" TargetMode="External"/><Relationship Id="rId102" Type="http://schemas.openxmlformats.org/officeDocument/2006/relationships/hyperlink" Target="Fail\TwoTypeObjPriTextRetnumberFail.quorum" TargetMode="External"/><Relationship Id="rId123" Type="http://schemas.openxmlformats.org/officeDocument/2006/relationships/hyperlink" Target="Pass\TwoTypePriObjTextRetIntObj.quorum" TargetMode="External"/><Relationship Id="rId144" Type="http://schemas.openxmlformats.org/officeDocument/2006/relationships/hyperlink" Target="Fail\TwoTypePriObjTextRetBoolObjFail.quorum" TargetMode="External"/><Relationship Id="rId90" Type="http://schemas.openxmlformats.org/officeDocument/2006/relationships/hyperlink" Target="Fail\TwoTypeObjPriTextRetbooleanFail.quorum" TargetMode="External"/><Relationship Id="rId165" Type="http://schemas.openxmlformats.org/officeDocument/2006/relationships/hyperlink" Target="Fail\TwoTypePriObjTextRettextFail.quorum" TargetMode="External"/><Relationship Id="rId186" Type="http://schemas.openxmlformats.org/officeDocument/2006/relationships/hyperlink" Target="Pass\TwoTypePriPriTextRetNumObj.quorum" TargetMode="External"/><Relationship Id="rId211" Type="http://schemas.openxmlformats.org/officeDocument/2006/relationships/hyperlink" Target="Fail\TwoTypePriPriBooleanRetNumObjFail.quoru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93"/>
  <sheetViews>
    <sheetView tabSelected="1" zoomScaleNormal="100" zoomScalePageLayoutView="200" workbookViewId="0">
      <pane ySplit="5" topLeftCell="A6" activePane="bottomLeft" state="frozen"/>
      <selection pane="bottomLeft" activeCell="D8" sqref="D8"/>
    </sheetView>
  </sheetViews>
  <sheetFormatPr defaultColWidth="14.42578125" defaultRowHeight="12.95" customHeight="1" x14ac:dyDescent="0.2"/>
  <cols>
    <col min="1" max="1" width="12.7109375" style="3" customWidth="1"/>
    <col min="2" max="2" width="10.140625" style="3" customWidth="1"/>
    <col min="3" max="3" width="4.42578125" style="2" customWidth="1"/>
    <col min="4" max="4" width="34.7109375" style="3" customWidth="1"/>
    <col min="5" max="5" width="34.140625" style="28" bestFit="1" customWidth="1"/>
    <col min="6" max="6" width="43.5703125" style="28" customWidth="1"/>
    <col min="7" max="16384" width="14.42578125" style="3"/>
  </cols>
  <sheetData>
    <row r="1" spans="1:6" ht="18" x14ac:dyDescent="0.25">
      <c r="A1" s="5" t="s">
        <v>22</v>
      </c>
      <c r="B1" s="1"/>
    </row>
    <row r="2" spans="1:6" ht="18" x14ac:dyDescent="0.25">
      <c r="A2" s="5" t="s">
        <v>21</v>
      </c>
      <c r="B2" s="1"/>
    </row>
    <row r="3" spans="1:6" ht="18" x14ac:dyDescent="0.25">
      <c r="A3" s="5"/>
      <c r="B3" s="1"/>
    </row>
    <row r="4" spans="1:6" s="9" customFormat="1" ht="15" x14ac:dyDescent="0.25">
      <c r="A4" s="24"/>
      <c r="B4" s="25"/>
      <c r="C4" s="26"/>
      <c r="D4" s="25"/>
      <c r="E4" s="25"/>
      <c r="F4" s="27"/>
    </row>
    <row r="5" spans="1:6" ht="12.95" customHeight="1" x14ac:dyDescent="0.2">
      <c r="A5" s="20" t="s">
        <v>0</v>
      </c>
      <c r="B5" s="21" t="s">
        <v>23</v>
      </c>
      <c r="C5" s="22" t="s">
        <v>17</v>
      </c>
      <c r="D5" s="22" t="s">
        <v>28</v>
      </c>
      <c r="E5" s="22" t="s">
        <v>29</v>
      </c>
      <c r="F5" s="23" t="s">
        <v>30</v>
      </c>
    </row>
    <row r="6" spans="1:6" s="8" customFormat="1" ht="12.95" customHeight="1" x14ac:dyDescent="0.2">
      <c r="A6" s="15" t="s">
        <v>24</v>
      </c>
      <c r="B6" s="16"/>
      <c r="C6" s="17"/>
      <c r="D6" s="18"/>
      <c r="E6" s="18"/>
      <c r="F6" s="19"/>
    </row>
    <row r="7" spans="1:6" ht="12.95" customHeight="1" x14ac:dyDescent="0.2">
      <c r="A7" s="11"/>
      <c r="B7" s="30" t="s">
        <v>13</v>
      </c>
      <c r="C7" s="31" t="s">
        <v>11</v>
      </c>
      <c r="D7" s="32" t="s">
        <v>31</v>
      </c>
      <c r="E7" s="32" t="s">
        <v>32</v>
      </c>
      <c r="F7" s="32" t="s">
        <v>33</v>
      </c>
    </row>
    <row r="8" spans="1:6" ht="12.95" customHeight="1" x14ac:dyDescent="0.2">
      <c r="A8" s="11"/>
      <c r="B8" s="30" t="s">
        <v>1</v>
      </c>
      <c r="C8" s="31" t="s">
        <v>2</v>
      </c>
      <c r="D8" s="32" t="s">
        <v>34</v>
      </c>
      <c r="E8" s="32" t="s">
        <v>35</v>
      </c>
      <c r="F8" s="32" t="s">
        <v>36</v>
      </c>
    </row>
    <row r="9" spans="1:6" ht="12.95" customHeight="1" x14ac:dyDescent="0.2">
      <c r="A9" s="11"/>
      <c r="B9" s="30" t="s">
        <v>14</v>
      </c>
      <c r="C9" s="31" t="s">
        <v>2</v>
      </c>
      <c r="D9" s="32" t="s">
        <v>37</v>
      </c>
      <c r="E9" s="32" t="s">
        <v>38</v>
      </c>
      <c r="F9" s="32" t="s">
        <v>39</v>
      </c>
    </row>
    <row r="10" spans="1:6" ht="12.95" customHeight="1" x14ac:dyDescent="0.2">
      <c r="A10" s="11"/>
      <c r="B10" s="30" t="s">
        <v>8</v>
      </c>
      <c r="C10" s="31" t="s">
        <v>2</v>
      </c>
      <c r="D10" s="32" t="s">
        <v>40</v>
      </c>
      <c r="E10" s="32" t="s">
        <v>41</v>
      </c>
      <c r="F10" s="32" t="s">
        <v>42</v>
      </c>
    </row>
    <row r="11" spans="1:6" ht="12.95" customHeight="1" x14ac:dyDescent="0.2">
      <c r="A11" s="11"/>
      <c r="B11" s="30" t="s">
        <v>15</v>
      </c>
      <c r="C11" s="31" t="s">
        <v>2</v>
      </c>
      <c r="D11" s="32" t="s">
        <v>43</v>
      </c>
      <c r="E11" s="32" t="s">
        <v>44</v>
      </c>
      <c r="F11" s="32" t="s">
        <v>45</v>
      </c>
    </row>
    <row r="12" spans="1:6" ht="12.95" customHeight="1" x14ac:dyDescent="0.2">
      <c r="A12" s="11"/>
      <c r="B12" s="30" t="s">
        <v>9</v>
      </c>
      <c r="C12" s="31" t="s">
        <v>2</v>
      </c>
      <c r="D12" s="32" t="s">
        <v>46</v>
      </c>
      <c r="E12" s="32" t="s">
        <v>47</v>
      </c>
      <c r="F12" s="32" t="s">
        <v>48</v>
      </c>
    </row>
    <row r="13" spans="1:6" ht="12.95" customHeight="1" x14ac:dyDescent="0.2">
      <c r="A13" s="10"/>
      <c r="B13" s="30" t="s">
        <v>12</v>
      </c>
      <c r="C13" s="31" t="s">
        <v>2</v>
      </c>
      <c r="D13" s="32" t="s">
        <v>49</v>
      </c>
      <c r="E13" s="32" t="s">
        <v>50</v>
      </c>
      <c r="F13" s="32" t="s">
        <v>51</v>
      </c>
    </row>
    <row r="14" spans="1:6" ht="12.95" customHeight="1" x14ac:dyDescent="0.2">
      <c r="A14" s="11"/>
      <c r="B14" s="30" t="s">
        <v>10</v>
      </c>
      <c r="C14" s="31" t="s">
        <v>2</v>
      </c>
      <c r="D14" s="32" t="s">
        <v>52</v>
      </c>
      <c r="E14" s="32" t="s">
        <v>53</v>
      </c>
      <c r="F14" s="32" t="s">
        <v>54</v>
      </c>
    </row>
    <row r="15" spans="1:6" ht="12.95" customHeight="1" x14ac:dyDescent="0.2">
      <c r="A15" s="11"/>
      <c r="B15" s="30" t="s">
        <v>16</v>
      </c>
      <c r="C15" s="31" t="s">
        <v>2</v>
      </c>
      <c r="D15" s="32" t="s">
        <v>55</v>
      </c>
      <c r="E15" s="32" t="s">
        <v>56</v>
      </c>
      <c r="F15" s="32" t="s">
        <v>57</v>
      </c>
    </row>
    <row r="16" spans="1:6" ht="12.95" customHeight="1" x14ac:dyDescent="0.2">
      <c r="A16" s="11"/>
      <c r="B16" s="13" t="s">
        <v>13</v>
      </c>
      <c r="C16" s="14"/>
      <c r="D16" s="33" t="s">
        <v>229</v>
      </c>
      <c r="E16" s="33" t="s">
        <v>230</v>
      </c>
      <c r="F16" s="33" t="s">
        <v>231</v>
      </c>
    </row>
    <row r="17" spans="1:6" ht="12.95" customHeight="1" x14ac:dyDescent="0.2">
      <c r="A17" s="11"/>
      <c r="B17" s="13" t="s">
        <v>1</v>
      </c>
      <c r="C17" s="14"/>
      <c r="D17" s="33" t="s">
        <v>232</v>
      </c>
      <c r="E17" s="33" t="s">
        <v>233</v>
      </c>
      <c r="F17" s="33" t="s">
        <v>234</v>
      </c>
    </row>
    <row r="18" spans="1:6" ht="12.95" customHeight="1" x14ac:dyDescent="0.2">
      <c r="A18" s="11"/>
      <c r="B18" s="13" t="s">
        <v>14</v>
      </c>
      <c r="C18" s="14"/>
      <c r="D18" s="33" t="s">
        <v>235</v>
      </c>
      <c r="E18" s="33" t="s">
        <v>236</v>
      </c>
      <c r="F18" s="33" t="s">
        <v>237</v>
      </c>
    </row>
    <row r="19" spans="1:6" ht="12.95" customHeight="1" x14ac:dyDescent="0.2">
      <c r="A19" s="11"/>
      <c r="B19" s="13" t="s">
        <v>3</v>
      </c>
      <c r="C19" s="14"/>
      <c r="D19" s="33" t="s">
        <v>238</v>
      </c>
      <c r="E19" s="33" t="s">
        <v>239</v>
      </c>
      <c r="F19" s="33" t="s">
        <v>240</v>
      </c>
    </row>
    <row r="20" spans="1:6" ht="12.95" customHeight="1" x14ac:dyDescent="0.2">
      <c r="A20" s="11"/>
      <c r="B20" s="13" t="s">
        <v>15</v>
      </c>
      <c r="C20" s="14"/>
      <c r="D20" s="33" t="s">
        <v>241</v>
      </c>
      <c r="E20" s="33" t="s">
        <v>242</v>
      </c>
      <c r="F20" s="33" t="s">
        <v>243</v>
      </c>
    </row>
    <row r="21" spans="1:6" ht="12.95" customHeight="1" x14ac:dyDescent="0.2">
      <c r="A21" s="11"/>
      <c r="B21" s="13" t="s">
        <v>4</v>
      </c>
      <c r="C21" s="14"/>
      <c r="D21" s="33" t="s">
        <v>244</v>
      </c>
      <c r="E21" s="33" t="s">
        <v>245</v>
      </c>
      <c r="F21" s="33" t="s">
        <v>246</v>
      </c>
    </row>
    <row r="22" spans="1:6" ht="12.95" customHeight="1" x14ac:dyDescent="0.2">
      <c r="A22" s="10"/>
      <c r="B22" s="13" t="s">
        <v>7</v>
      </c>
      <c r="C22" s="14"/>
      <c r="D22" s="33" t="s">
        <v>247</v>
      </c>
      <c r="E22" s="33" t="s">
        <v>248</v>
      </c>
      <c r="F22" s="33" t="s">
        <v>249</v>
      </c>
    </row>
    <row r="23" spans="1:6" ht="12.95" customHeight="1" x14ac:dyDescent="0.2">
      <c r="A23" s="11"/>
      <c r="B23" s="13" t="s">
        <v>5</v>
      </c>
      <c r="C23" s="14"/>
      <c r="D23" s="33" t="s">
        <v>250</v>
      </c>
      <c r="E23" s="33" t="s">
        <v>251</v>
      </c>
      <c r="F23" s="33" t="s">
        <v>252</v>
      </c>
    </row>
    <row r="24" spans="1:6" ht="12.95" customHeight="1" x14ac:dyDescent="0.2">
      <c r="A24" s="11"/>
      <c r="B24" s="13" t="s">
        <v>16</v>
      </c>
      <c r="C24" s="14"/>
      <c r="D24" s="33" t="s">
        <v>253</v>
      </c>
      <c r="E24" s="33" t="s">
        <v>254</v>
      </c>
      <c r="F24" s="33" t="s">
        <v>255</v>
      </c>
    </row>
    <row r="25" spans="1:6" ht="12.95" customHeight="1" x14ac:dyDescent="0.2">
      <c r="A25" s="11"/>
      <c r="B25" s="13" t="s">
        <v>6</v>
      </c>
      <c r="C25" s="14"/>
      <c r="D25" s="33" t="s">
        <v>256</v>
      </c>
      <c r="E25" s="33" t="s">
        <v>257</v>
      </c>
      <c r="F25" s="33" t="s">
        <v>258</v>
      </c>
    </row>
    <row r="26" spans="1:6" s="8" customFormat="1" ht="12.95" customHeight="1" x14ac:dyDescent="0.2">
      <c r="A26" s="15" t="s">
        <v>25</v>
      </c>
      <c r="B26" s="16"/>
      <c r="C26" s="17"/>
      <c r="D26" s="18"/>
      <c r="E26" s="18"/>
      <c r="F26" s="19"/>
    </row>
    <row r="27" spans="1:6" ht="12.95" customHeight="1" x14ac:dyDescent="0.2">
      <c r="A27" s="11"/>
      <c r="B27" s="30" t="s">
        <v>13</v>
      </c>
      <c r="C27" s="31" t="s">
        <v>2</v>
      </c>
      <c r="D27" s="32" t="s">
        <v>58</v>
      </c>
      <c r="E27" s="32" t="s">
        <v>59</v>
      </c>
      <c r="F27" s="32" t="s">
        <v>60</v>
      </c>
    </row>
    <row r="28" spans="1:6" ht="12.95" customHeight="1" x14ac:dyDescent="0.2">
      <c r="A28" s="11"/>
      <c r="B28" s="30" t="s">
        <v>1</v>
      </c>
      <c r="C28" s="31" t="s">
        <v>2</v>
      </c>
      <c r="D28" s="32" t="s">
        <v>61</v>
      </c>
      <c r="E28" s="32" t="s">
        <v>62</v>
      </c>
      <c r="F28" s="32" t="s">
        <v>63</v>
      </c>
    </row>
    <row r="29" spans="1:6" ht="12.95" customHeight="1" x14ac:dyDescent="0.2">
      <c r="A29" s="11"/>
      <c r="B29" s="30" t="s">
        <v>14</v>
      </c>
      <c r="C29" s="31" t="s">
        <v>2</v>
      </c>
      <c r="D29" s="32" t="s">
        <v>64</v>
      </c>
      <c r="E29" s="32" t="s">
        <v>65</v>
      </c>
      <c r="F29" s="32" t="s">
        <v>66</v>
      </c>
    </row>
    <row r="30" spans="1:6" ht="12.95" customHeight="1" x14ac:dyDescent="0.2">
      <c r="A30" s="11"/>
      <c r="B30" s="30" t="s">
        <v>3</v>
      </c>
      <c r="C30" s="31" t="s">
        <v>2</v>
      </c>
      <c r="D30" s="32" t="s">
        <v>67</v>
      </c>
      <c r="E30" s="32" t="s">
        <v>68</v>
      </c>
      <c r="F30" s="32" t="s">
        <v>69</v>
      </c>
    </row>
    <row r="31" spans="1:6" ht="12.95" customHeight="1" x14ac:dyDescent="0.2">
      <c r="A31" s="11"/>
      <c r="B31" s="30" t="s">
        <v>15</v>
      </c>
      <c r="C31" s="31" t="s">
        <v>2</v>
      </c>
      <c r="D31" s="32" t="s">
        <v>70</v>
      </c>
      <c r="E31" s="32" t="s">
        <v>71</v>
      </c>
      <c r="F31" s="32" t="s">
        <v>72</v>
      </c>
    </row>
    <row r="32" spans="1:6" ht="12.95" customHeight="1" x14ac:dyDescent="0.2">
      <c r="A32" s="11"/>
      <c r="B32" s="30" t="s">
        <v>4</v>
      </c>
      <c r="C32" s="31" t="s">
        <v>2</v>
      </c>
      <c r="D32" s="32" t="s">
        <v>73</v>
      </c>
      <c r="E32" s="32" t="s">
        <v>74</v>
      </c>
      <c r="F32" s="32" t="s">
        <v>75</v>
      </c>
    </row>
    <row r="33" spans="1:6" ht="12.95" customHeight="1" x14ac:dyDescent="0.2">
      <c r="A33" s="10"/>
      <c r="B33" s="30" t="s">
        <v>7</v>
      </c>
      <c r="C33" s="31" t="s">
        <v>2</v>
      </c>
      <c r="D33" s="32" t="s">
        <v>76</v>
      </c>
      <c r="E33" s="32" t="s">
        <v>77</v>
      </c>
      <c r="F33" s="32" t="s">
        <v>78</v>
      </c>
    </row>
    <row r="34" spans="1:6" ht="12.95" customHeight="1" x14ac:dyDescent="0.2">
      <c r="A34" s="11"/>
      <c r="B34" s="30" t="s">
        <v>5</v>
      </c>
      <c r="C34" s="31" t="s">
        <v>2</v>
      </c>
      <c r="D34" s="32" t="s">
        <v>79</v>
      </c>
      <c r="E34" s="32" t="s">
        <v>80</v>
      </c>
      <c r="F34" s="32" t="s">
        <v>81</v>
      </c>
    </row>
    <row r="35" spans="1:6" ht="12.95" customHeight="1" x14ac:dyDescent="0.2">
      <c r="A35" s="11"/>
      <c r="B35" s="30" t="s">
        <v>16</v>
      </c>
      <c r="C35" s="31" t="s">
        <v>2</v>
      </c>
      <c r="D35" s="32" t="s">
        <v>82</v>
      </c>
      <c r="E35" s="32" t="s">
        <v>83</v>
      </c>
      <c r="F35" s="32" t="s">
        <v>84</v>
      </c>
    </row>
    <row r="36" spans="1:6" ht="12.95" customHeight="1" x14ac:dyDescent="0.2">
      <c r="A36" s="11"/>
      <c r="B36" s="13" t="s">
        <v>13</v>
      </c>
      <c r="C36" s="14"/>
      <c r="D36" s="33" t="s">
        <v>199</v>
      </c>
      <c r="E36" s="33" t="s">
        <v>200</v>
      </c>
      <c r="F36" s="33" t="s">
        <v>201</v>
      </c>
    </row>
    <row r="37" spans="1:6" ht="12.95" customHeight="1" x14ac:dyDescent="0.2">
      <c r="A37" s="11"/>
      <c r="B37" s="13" t="s">
        <v>1</v>
      </c>
      <c r="C37" s="14"/>
      <c r="D37" s="33" t="s">
        <v>202</v>
      </c>
      <c r="E37" s="33" t="s">
        <v>203</v>
      </c>
      <c r="F37" s="33" t="s">
        <v>204</v>
      </c>
    </row>
    <row r="38" spans="1:6" ht="12.95" customHeight="1" x14ac:dyDescent="0.2">
      <c r="A38" s="11"/>
      <c r="B38" s="13" t="s">
        <v>14</v>
      </c>
      <c r="C38" s="14"/>
      <c r="D38" s="33" t="s">
        <v>205</v>
      </c>
      <c r="E38" s="33" t="s">
        <v>206</v>
      </c>
      <c r="F38" s="33" t="s">
        <v>207</v>
      </c>
    </row>
    <row r="39" spans="1:6" ht="12.95" customHeight="1" x14ac:dyDescent="0.2">
      <c r="A39" s="11"/>
      <c r="B39" s="13" t="s">
        <v>3</v>
      </c>
      <c r="C39" s="14"/>
      <c r="D39" s="33" t="s">
        <v>208</v>
      </c>
      <c r="E39" s="33" t="s">
        <v>209</v>
      </c>
      <c r="F39" s="33" t="s">
        <v>210</v>
      </c>
    </row>
    <row r="40" spans="1:6" ht="12.95" customHeight="1" x14ac:dyDescent="0.2">
      <c r="A40" s="11"/>
      <c r="B40" s="13" t="s">
        <v>15</v>
      </c>
      <c r="C40" s="14"/>
      <c r="D40" s="33" t="s">
        <v>211</v>
      </c>
      <c r="E40" s="33" t="s">
        <v>212</v>
      </c>
      <c r="F40" s="33" t="s">
        <v>213</v>
      </c>
    </row>
    <row r="41" spans="1:6" ht="12.95" customHeight="1" x14ac:dyDescent="0.2">
      <c r="A41" s="11"/>
      <c r="B41" s="13" t="s">
        <v>4</v>
      </c>
      <c r="C41" s="14"/>
      <c r="D41" s="33" t="s">
        <v>214</v>
      </c>
      <c r="E41" s="33" t="s">
        <v>215</v>
      </c>
      <c r="F41" s="33" t="s">
        <v>216</v>
      </c>
    </row>
    <row r="42" spans="1:6" ht="12.95" customHeight="1" x14ac:dyDescent="0.2">
      <c r="A42" s="10"/>
      <c r="B42" s="13" t="s">
        <v>7</v>
      </c>
      <c r="C42" s="14"/>
      <c r="D42" s="33" t="s">
        <v>217</v>
      </c>
      <c r="E42" s="33" t="s">
        <v>218</v>
      </c>
      <c r="F42" s="33" t="s">
        <v>219</v>
      </c>
    </row>
    <row r="43" spans="1:6" ht="12.95" customHeight="1" x14ac:dyDescent="0.2">
      <c r="A43" s="11"/>
      <c r="B43" s="13" t="s">
        <v>5</v>
      </c>
      <c r="C43" s="14"/>
      <c r="D43" s="33" t="s">
        <v>220</v>
      </c>
      <c r="E43" s="33" t="s">
        <v>221</v>
      </c>
      <c r="F43" s="33" t="s">
        <v>222</v>
      </c>
    </row>
    <row r="44" spans="1:6" ht="12.95" customHeight="1" x14ac:dyDescent="0.2">
      <c r="A44" s="11"/>
      <c r="B44" s="13" t="s">
        <v>16</v>
      </c>
      <c r="C44" s="14"/>
      <c r="D44" s="33" t="s">
        <v>223</v>
      </c>
      <c r="E44" s="33" t="s">
        <v>224</v>
      </c>
      <c r="F44" s="33" t="s">
        <v>225</v>
      </c>
    </row>
    <row r="45" spans="1:6" ht="12.95" customHeight="1" x14ac:dyDescent="0.2">
      <c r="A45" s="11"/>
      <c r="B45" s="13" t="s">
        <v>6</v>
      </c>
      <c r="C45" s="14"/>
      <c r="D45" s="33" t="s">
        <v>226</v>
      </c>
      <c r="E45" s="33" t="s">
        <v>227</v>
      </c>
      <c r="F45" s="33" t="s">
        <v>228</v>
      </c>
    </row>
    <row r="46" spans="1:6" s="8" customFormat="1" ht="12.95" customHeight="1" x14ac:dyDescent="0.2">
      <c r="A46" s="15" t="s">
        <v>26</v>
      </c>
      <c r="B46" s="16"/>
      <c r="C46" s="17"/>
      <c r="D46" s="18"/>
      <c r="E46" s="18"/>
      <c r="F46" s="19"/>
    </row>
    <row r="47" spans="1:6" ht="12.95" customHeight="1" x14ac:dyDescent="0.2">
      <c r="A47" s="11"/>
      <c r="B47" s="30" t="s">
        <v>13</v>
      </c>
      <c r="C47" s="31" t="s">
        <v>2</v>
      </c>
      <c r="D47" s="32" t="s">
        <v>85</v>
      </c>
      <c r="E47" s="32" t="s">
        <v>86</v>
      </c>
      <c r="F47" s="32" t="s">
        <v>87</v>
      </c>
    </row>
    <row r="48" spans="1:6" s="4" customFormat="1" ht="12.95" customHeight="1" x14ac:dyDescent="0.2">
      <c r="A48" s="12"/>
      <c r="B48" s="30" t="s">
        <v>1</v>
      </c>
      <c r="C48" s="31" t="s">
        <v>2</v>
      </c>
      <c r="D48" s="32" t="s">
        <v>88</v>
      </c>
      <c r="E48" s="32" t="s">
        <v>89</v>
      </c>
      <c r="F48" s="32" t="s">
        <v>90</v>
      </c>
    </row>
    <row r="49" spans="1:6" ht="12.95" customHeight="1" x14ac:dyDescent="0.2">
      <c r="A49" s="11"/>
      <c r="B49" s="30" t="s">
        <v>14</v>
      </c>
      <c r="C49" s="31" t="s">
        <v>2</v>
      </c>
      <c r="D49" s="32" t="s">
        <v>91</v>
      </c>
      <c r="E49" s="32" t="s">
        <v>92</v>
      </c>
      <c r="F49" s="32" t="s">
        <v>93</v>
      </c>
    </row>
    <row r="50" spans="1:6" ht="12.95" customHeight="1" x14ac:dyDescent="0.2">
      <c r="A50" s="11"/>
      <c r="B50" s="30" t="s">
        <v>3</v>
      </c>
      <c r="C50" s="31" t="s">
        <v>2</v>
      </c>
      <c r="D50" s="32" t="s">
        <v>94</v>
      </c>
      <c r="E50" s="32" t="s">
        <v>95</v>
      </c>
      <c r="F50" s="32" t="s">
        <v>96</v>
      </c>
    </row>
    <row r="51" spans="1:6" ht="12.95" customHeight="1" x14ac:dyDescent="0.2">
      <c r="A51" s="11"/>
      <c r="B51" s="30" t="s">
        <v>15</v>
      </c>
      <c r="C51" s="31" t="s">
        <v>2</v>
      </c>
      <c r="D51" s="32" t="s">
        <v>97</v>
      </c>
      <c r="E51" s="32" t="s">
        <v>98</v>
      </c>
      <c r="F51" s="32" t="s">
        <v>99</v>
      </c>
    </row>
    <row r="52" spans="1:6" ht="12.95" customHeight="1" x14ac:dyDescent="0.2">
      <c r="A52" s="11"/>
      <c r="B52" s="30" t="s">
        <v>4</v>
      </c>
      <c r="C52" s="31" t="s">
        <v>2</v>
      </c>
      <c r="D52" s="32" t="s">
        <v>100</v>
      </c>
      <c r="E52" s="32" t="s">
        <v>101</v>
      </c>
      <c r="F52" s="32" t="s">
        <v>102</v>
      </c>
    </row>
    <row r="53" spans="1:6" ht="12.95" customHeight="1" x14ac:dyDescent="0.2">
      <c r="A53" s="11"/>
      <c r="B53" s="30" t="s">
        <v>7</v>
      </c>
      <c r="C53" s="31" t="s">
        <v>2</v>
      </c>
      <c r="D53" s="32" t="s">
        <v>103</v>
      </c>
      <c r="E53" s="32" t="s">
        <v>104</v>
      </c>
      <c r="F53" s="32" t="s">
        <v>105</v>
      </c>
    </row>
    <row r="54" spans="1:6" ht="12.95" customHeight="1" x14ac:dyDescent="0.2">
      <c r="A54" s="11"/>
      <c r="B54" s="30" t="s">
        <v>5</v>
      </c>
      <c r="C54" s="31" t="s">
        <v>2</v>
      </c>
      <c r="D54" s="32" t="s">
        <v>106</v>
      </c>
      <c r="E54" s="32" t="s">
        <v>107</v>
      </c>
      <c r="F54" s="32" t="s">
        <v>108</v>
      </c>
    </row>
    <row r="55" spans="1:6" ht="12.95" customHeight="1" x14ac:dyDescent="0.2">
      <c r="A55" s="11"/>
      <c r="B55" s="30" t="s">
        <v>16</v>
      </c>
      <c r="C55" s="31" t="s">
        <v>2</v>
      </c>
      <c r="D55" s="32" t="s">
        <v>109</v>
      </c>
      <c r="E55" s="32" t="s">
        <v>110</v>
      </c>
      <c r="F55" s="32" t="s">
        <v>111</v>
      </c>
    </row>
    <row r="56" spans="1:6" ht="12.95" customHeight="1" x14ac:dyDescent="0.2">
      <c r="A56" s="11"/>
      <c r="B56" s="13" t="s">
        <v>13</v>
      </c>
      <c r="C56" s="14"/>
      <c r="D56" s="33" t="s">
        <v>169</v>
      </c>
      <c r="E56" s="33" t="s">
        <v>170</v>
      </c>
      <c r="F56" s="33" t="s">
        <v>171</v>
      </c>
    </row>
    <row r="57" spans="1:6" s="4" customFormat="1" ht="12.95" customHeight="1" x14ac:dyDescent="0.2">
      <c r="A57" s="12"/>
      <c r="B57" s="13" t="s">
        <v>1</v>
      </c>
      <c r="C57" s="14"/>
      <c r="D57" s="33" t="s">
        <v>172</v>
      </c>
      <c r="E57" s="33" t="s">
        <v>173</v>
      </c>
      <c r="F57" s="33" t="s">
        <v>174</v>
      </c>
    </row>
    <row r="58" spans="1:6" ht="12.95" customHeight="1" x14ac:dyDescent="0.2">
      <c r="A58" s="11"/>
      <c r="B58" s="13" t="s">
        <v>14</v>
      </c>
      <c r="C58" s="14"/>
      <c r="D58" s="33" t="s">
        <v>175</v>
      </c>
      <c r="E58" s="33" t="s">
        <v>176</v>
      </c>
      <c r="F58" s="33" t="s">
        <v>177</v>
      </c>
    </row>
    <row r="59" spans="1:6" ht="12.95" customHeight="1" x14ac:dyDescent="0.2">
      <c r="A59" s="11"/>
      <c r="B59" s="13" t="s">
        <v>3</v>
      </c>
      <c r="C59" s="14"/>
      <c r="D59" s="33" t="s">
        <v>178</v>
      </c>
      <c r="E59" s="33" t="s">
        <v>179</v>
      </c>
      <c r="F59" s="33" t="s">
        <v>180</v>
      </c>
    </row>
    <row r="60" spans="1:6" ht="12.95" customHeight="1" x14ac:dyDescent="0.2">
      <c r="A60" s="11"/>
      <c r="B60" s="13" t="s">
        <v>15</v>
      </c>
      <c r="C60" s="14"/>
      <c r="D60" s="33" t="s">
        <v>181</v>
      </c>
      <c r="E60" s="33" t="s">
        <v>182</v>
      </c>
      <c r="F60" s="33" t="s">
        <v>183</v>
      </c>
    </row>
    <row r="61" spans="1:6" ht="12.95" customHeight="1" x14ac:dyDescent="0.2">
      <c r="A61" s="11"/>
      <c r="B61" s="13" t="s">
        <v>4</v>
      </c>
      <c r="C61" s="14"/>
      <c r="D61" s="33" t="s">
        <v>184</v>
      </c>
      <c r="E61" s="33" t="s">
        <v>185</v>
      </c>
      <c r="F61" s="33" t="s">
        <v>186</v>
      </c>
    </row>
    <row r="62" spans="1:6" ht="12.95" customHeight="1" x14ac:dyDescent="0.2">
      <c r="A62" s="11"/>
      <c r="B62" s="13" t="s">
        <v>7</v>
      </c>
      <c r="C62" s="14"/>
      <c r="D62" s="33" t="s">
        <v>187</v>
      </c>
      <c r="E62" s="33" t="s">
        <v>188</v>
      </c>
      <c r="F62" s="33" t="s">
        <v>189</v>
      </c>
    </row>
    <row r="63" spans="1:6" ht="12.95" customHeight="1" x14ac:dyDescent="0.2">
      <c r="A63" s="11"/>
      <c r="B63" s="13" t="s">
        <v>5</v>
      </c>
      <c r="C63" s="14"/>
      <c r="D63" s="33" t="s">
        <v>190</v>
      </c>
      <c r="E63" s="33" t="s">
        <v>191</v>
      </c>
      <c r="F63" s="33" t="s">
        <v>192</v>
      </c>
    </row>
    <row r="64" spans="1:6" ht="12.95" customHeight="1" x14ac:dyDescent="0.2">
      <c r="A64" s="11"/>
      <c r="B64" s="13" t="s">
        <v>16</v>
      </c>
      <c r="C64" s="14"/>
      <c r="D64" s="33" t="s">
        <v>193</v>
      </c>
      <c r="E64" s="33" t="s">
        <v>194</v>
      </c>
      <c r="F64" s="33" t="s">
        <v>195</v>
      </c>
    </row>
    <row r="65" spans="1:6" ht="12.95" customHeight="1" x14ac:dyDescent="0.2">
      <c r="A65" s="11"/>
      <c r="B65" s="13" t="s">
        <v>6</v>
      </c>
      <c r="C65" s="14"/>
      <c r="D65" s="33" t="s">
        <v>196</v>
      </c>
      <c r="E65" s="33" t="s">
        <v>197</v>
      </c>
      <c r="F65" s="33" t="s">
        <v>198</v>
      </c>
    </row>
    <row r="66" spans="1:6" s="8" customFormat="1" ht="12.95" customHeight="1" x14ac:dyDescent="0.2">
      <c r="A66" s="15" t="s">
        <v>27</v>
      </c>
      <c r="B66" s="34"/>
      <c r="C66" s="35"/>
      <c r="D66" s="36"/>
      <c r="E66" s="36"/>
      <c r="F66" s="37"/>
    </row>
    <row r="67" spans="1:6" ht="12.95" customHeight="1" x14ac:dyDescent="0.2">
      <c r="A67" s="11"/>
      <c r="B67" s="30" t="s">
        <v>13</v>
      </c>
      <c r="C67" s="31" t="s">
        <v>2</v>
      </c>
      <c r="D67" s="32" t="s">
        <v>112</v>
      </c>
      <c r="E67" s="32" t="s">
        <v>113</v>
      </c>
      <c r="F67" s="32" t="s">
        <v>114</v>
      </c>
    </row>
    <row r="68" spans="1:6" ht="12.95" customHeight="1" x14ac:dyDescent="0.2">
      <c r="A68" s="12"/>
      <c r="B68" s="30" t="s">
        <v>1</v>
      </c>
      <c r="C68" s="31" t="s">
        <v>2</v>
      </c>
      <c r="D68" s="32" t="s">
        <v>115</v>
      </c>
      <c r="E68" s="32" t="s">
        <v>116</v>
      </c>
      <c r="F68" s="32" t="s">
        <v>117</v>
      </c>
    </row>
    <row r="69" spans="1:6" ht="12.95" customHeight="1" x14ac:dyDescent="0.2">
      <c r="A69" s="11"/>
      <c r="B69" s="30" t="s">
        <v>14</v>
      </c>
      <c r="C69" s="31" t="s">
        <v>2</v>
      </c>
      <c r="D69" s="32" t="s">
        <v>118</v>
      </c>
      <c r="E69" s="32" t="s">
        <v>119</v>
      </c>
      <c r="F69" s="32" t="s">
        <v>120</v>
      </c>
    </row>
    <row r="70" spans="1:6" ht="12.95" customHeight="1" x14ac:dyDescent="0.2">
      <c r="A70" s="11"/>
      <c r="B70" s="30" t="s">
        <v>3</v>
      </c>
      <c r="C70" s="31" t="s">
        <v>2</v>
      </c>
      <c r="D70" s="32" t="s">
        <v>121</v>
      </c>
      <c r="E70" s="32" t="s">
        <v>122</v>
      </c>
      <c r="F70" s="32" t="s">
        <v>123</v>
      </c>
    </row>
    <row r="71" spans="1:6" ht="12.95" customHeight="1" x14ac:dyDescent="0.2">
      <c r="A71" s="11"/>
      <c r="B71" s="30" t="s">
        <v>15</v>
      </c>
      <c r="C71" s="31" t="s">
        <v>2</v>
      </c>
      <c r="D71" s="32" t="s">
        <v>124</v>
      </c>
      <c r="E71" s="32" t="s">
        <v>125</v>
      </c>
      <c r="F71" s="32" t="s">
        <v>126</v>
      </c>
    </row>
    <row r="72" spans="1:6" ht="12.95" customHeight="1" x14ac:dyDescent="0.2">
      <c r="A72" s="11"/>
      <c r="B72" s="30" t="s">
        <v>4</v>
      </c>
      <c r="C72" s="31" t="s">
        <v>2</v>
      </c>
      <c r="D72" s="32" t="s">
        <v>127</v>
      </c>
      <c r="E72" s="32" t="s">
        <v>128</v>
      </c>
      <c r="F72" s="32" t="s">
        <v>129</v>
      </c>
    </row>
    <row r="73" spans="1:6" ht="12.95" customHeight="1" x14ac:dyDescent="0.2">
      <c r="A73" s="11"/>
      <c r="B73" s="30" t="s">
        <v>7</v>
      </c>
      <c r="C73" s="31" t="s">
        <v>2</v>
      </c>
      <c r="D73" s="32" t="s">
        <v>130</v>
      </c>
      <c r="E73" s="32" t="s">
        <v>131</v>
      </c>
      <c r="F73" s="32" t="s">
        <v>132</v>
      </c>
    </row>
    <row r="74" spans="1:6" ht="12.95" customHeight="1" x14ac:dyDescent="0.2">
      <c r="A74" s="11"/>
      <c r="B74" s="30" t="s">
        <v>5</v>
      </c>
      <c r="C74" s="31" t="s">
        <v>2</v>
      </c>
      <c r="D74" s="32" t="s">
        <v>133</v>
      </c>
      <c r="E74" s="32" t="s">
        <v>134</v>
      </c>
      <c r="F74" s="32" t="s">
        <v>135</v>
      </c>
    </row>
    <row r="75" spans="1:6" ht="12.95" customHeight="1" x14ac:dyDescent="0.2">
      <c r="A75" s="11"/>
      <c r="B75" s="30" t="s">
        <v>16</v>
      </c>
      <c r="C75" s="31" t="s">
        <v>2</v>
      </c>
      <c r="D75" s="32" t="s">
        <v>136</v>
      </c>
      <c r="E75" s="32" t="s">
        <v>137</v>
      </c>
      <c r="F75" s="32" t="s">
        <v>138</v>
      </c>
    </row>
    <row r="76" spans="1:6" ht="12.95" customHeight="1" x14ac:dyDescent="0.2">
      <c r="A76" s="11"/>
      <c r="B76" s="13" t="s">
        <v>13</v>
      </c>
      <c r="C76" s="14"/>
      <c r="D76" s="33" t="s">
        <v>139</v>
      </c>
      <c r="E76" s="33" t="s">
        <v>140</v>
      </c>
      <c r="F76" s="33" t="s">
        <v>141</v>
      </c>
    </row>
    <row r="77" spans="1:6" ht="12.95" customHeight="1" x14ac:dyDescent="0.2">
      <c r="A77" s="12"/>
      <c r="B77" s="13" t="s">
        <v>1</v>
      </c>
      <c r="C77" s="14"/>
      <c r="D77" s="33" t="s">
        <v>142</v>
      </c>
      <c r="E77" s="33" t="s">
        <v>143</v>
      </c>
      <c r="F77" s="33" t="s">
        <v>144</v>
      </c>
    </row>
    <row r="78" spans="1:6" ht="12.95" customHeight="1" x14ac:dyDescent="0.2">
      <c r="A78" s="11"/>
      <c r="B78" s="13" t="s">
        <v>14</v>
      </c>
      <c r="C78" s="14"/>
      <c r="D78" s="33" t="s">
        <v>145</v>
      </c>
      <c r="E78" s="33" t="s">
        <v>146</v>
      </c>
      <c r="F78" s="33" t="s">
        <v>147</v>
      </c>
    </row>
    <row r="79" spans="1:6" ht="12.95" customHeight="1" x14ac:dyDescent="0.2">
      <c r="A79" s="11"/>
      <c r="B79" s="13" t="s">
        <v>3</v>
      </c>
      <c r="C79" s="14"/>
      <c r="D79" s="33" t="s">
        <v>148</v>
      </c>
      <c r="E79" s="33" t="s">
        <v>149</v>
      </c>
      <c r="F79" s="33" t="s">
        <v>150</v>
      </c>
    </row>
    <row r="80" spans="1:6" ht="12.95" customHeight="1" x14ac:dyDescent="0.2">
      <c r="A80" s="11"/>
      <c r="B80" s="13" t="s">
        <v>15</v>
      </c>
      <c r="C80" s="14"/>
      <c r="D80" s="33" t="s">
        <v>151</v>
      </c>
      <c r="E80" s="33" t="s">
        <v>152</v>
      </c>
      <c r="F80" s="33" t="s">
        <v>153</v>
      </c>
    </row>
    <row r="81" spans="1:6" ht="12.95" customHeight="1" x14ac:dyDescent="0.2">
      <c r="A81" s="11"/>
      <c r="B81" s="13" t="s">
        <v>4</v>
      </c>
      <c r="C81" s="14"/>
      <c r="D81" s="33" t="s">
        <v>154</v>
      </c>
      <c r="E81" s="33" t="s">
        <v>155</v>
      </c>
      <c r="F81" s="33" t="s">
        <v>156</v>
      </c>
    </row>
    <row r="82" spans="1:6" ht="12.95" customHeight="1" x14ac:dyDescent="0.2">
      <c r="A82" s="11"/>
      <c r="B82" s="13" t="s">
        <v>7</v>
      </c>
      <c r="C82" s="14"/>
      <c r="D82" s="33" t="s">
        <v>157</v>
      </c>
      <c r="E82" s="33" t="s">
        <v>158</v>
      </c>
      <c r="F82" s="33" t="s">
        <v>159</v>
      </c>
    </row>
    <row r="83" spans="1:6" ht="12.95" customHeight="1" x14ac:dyDescent="0.2">
      <c r="A83" s="11"/>
      <c r="B83" s="13" t="s">
        <v>5</v>
      </c>
      <c r="C83" s="14"/>
      <c r="D83" s="33" t="s">
        <v>160</v>
      </c>
      <c r="E83" s="33" t="s">
        <v>161</v>
      </c>
      <c r="F83" s="33" t="s">
        <v>162</v>
      </c>
    </row>
    <row r="84" spans="1:6" ht="12.95" customHeight="1" x14ac:dyDescent="0.2">
      <c r="A84" s="11"/>
      <c r="B84" s="13" t="s">
        <v>16</v>
      </c>
      <c r="C84" s="14"/>
      <c r="D84" s="33" t="s">
        <v>163</v>
      </c>
      <c r="E84" s="33" t="s">
        <v>164</v>
      </c>
      <c r="F84" s="33" t="s">
        <v>165</v>
      </c>
    </row>
    <row r="85" spans="1:6" ht="12.95" customHeight="1" x14ac:dyDescent="0.2">
      <c r="A85" s="11"/>
      <c r="B85" s="13" t="s">
        <v>6</v>
      </c>
      <c r="C85" s="14"/>
      <c r="D85" s="33" t="s">
        <v>166</v>
      </c>
      <c r="E85" s="33" t="s">
        <v>167</v>
      </c>
      <c r="F85" s="33" t="s">
        <v>168</v>
      </c>
    </row>
    <row r="87" spans="1:6" ht="12.95" customHeight="1" x14ac:dyDescent="0.2">
      <c r="A87" s="2">
        <f>COUNTA(A6:A85)</f>
        <v>4</v>
      </c>
      <c r="B87" s="3" t="s">
        <v>18</v>
      </c>
      <c r="C87" s="2">
        <f>SUM(D87:F87)</f>
        <v>108</v>
      </c>
      <c r="D87" s="2">
        <f>COUNTA(C6:C85)</f>
        <v>36</v>
      </c>
      <c r="E87" s="2">
        <f>D87</f>
        <v>36</v>
      </c>
      <c r="F87" s="2">
        <f>E87</f>
        <v>36</v>
      </c>
    </row>
    <row r="88" spans="1:6" ht="12.95" customHeight="1" x14ac:dyDescent="0.2">
      <c r="B88" s="3" t="s">
        <v>19</v>
      </c>
      <c r="C88" s="2">
        <f>SUM(D88:F88)</f>
        <v>120</v>
      </c>
      <c r="D88" s="2">
        <f>COUNTBLANK(C6:C85)-A87</f>
        <v>40</v>
      </c>
      <c r="E88" s="29">
        <f>D88</f>
        <v>40</v>
      </c>
      <c r="F88" s="29">
        <f>E88</f>
        <v>40</v>
      </c>
    </row>
    <row r="89" spans="1:6" ht="12.95" customHeight="1" x14ac:dyDescent="0.2">
      <c r="B89" s="7" t="s">
        <v>20</v>
      </c>
      <c r="C89" s="6">
        <f>SUM(C87:C88)</f>
        <v>228</v>
      </c>
      <c r="D89" s="2">
        <f>COUNTA(D6:D85)</f>
        <v>76</v>
      </c>
      <c r="E89" s="2">
        <f>COUNTA(E6:E85)</f>
        <v>76</v>
      </c>
      <c r="F89" s="2">
        <f>COUNTA(F6:F85)</f>
        <v>76</v>
      </c>
    </row>
    <row r="91" spans="1:6" ht="12.95" customHeight="1" x14ac:dyDescent="0.2">
      <c r="B91" s="3">
        <v>238</v>
      </c>
    </row>
    <row r="92" spans="1:6" ht="12.95" customHeight="1" x14ac:dyDescent="0.2">
      <c r="B92" s="3">
        <v>325</v>
      </c>
    </row>
    <row r="93" spans="1:6" ht="12.95" customHeight="1" x14ac:dyDescent="0.2">
      <c r="B93" s="3">
        <f>B92-B91+1</f>
        <v>88</v>
      </c>
    </row>
  </sheetData>
  <hyperlinks>
    <hyperlink ref="D7" r:id="rId1"/>
    <hyperlink ref="E7" r:id="rId2"/>
    <hyperlink ref="F7" r:id="rId3"/>
    <hyperlink ref="D8" r:id="rId4"/>
    <hyperlink ref="E8" r:id="rId5"/>
    <hyperlink ref="F8" r:id="rId6"/>
    <hyperlink ref="D9" r:id="rId7"/>
    <hyperlink ref="E9" r:id="rId8"/>
    <hyperlink ref="F9" r:id="rId9"/>
    <hyperlink ref="D10" r:id="rId10"/>
    <hyperlink ref="E10" r:id="rId11"/>
    <hyperlink ref="F10" r:id="rId12"/>
    <hyperlink ref="D11" r:id="rId13"/>
    <hyperlink ref="E11" r:id="rId14"/>
    <hyperlink ref="F11" r:id="rId15"/>
    <hyperlink ref="D12" r:id="rId16"/>
    <hyperlink ref="E12" r:id="rId17"/>
    <hyperlink ref="F12" r:id="rId18"/>
    <hyperlink ref="D13" r:id="rId19"/>
    <hyperlink ref="E13" r:id="rId20"/>
    <hyperlink ref="F13" r:id="rId21"/>
    <hyperlink ref="D14" r:id="rId22"/>
    <hyperlink ref="E14" r:id="rId23"/>
    <hyperlink ref="F14" r:id="rId24"/>
    <hyperlink ref="D15" r:id="rId25"/>
    <hyperlink ref="E15" r:id="rId26"/>
    <hyperlink ref="F15" r:id="rId27"/>
    <hyperlink ref="D16" r:id="rId28"/>
    <hyperlink ref="E16" r:id="rId29"/>
    <hyperlink ref="F16" r:id="rId30"/>
    <hyperlink ref="D17" r:id="rId31"/>
    <hyperlink ref="E17" r:id="rId32"/>
    <hyperlink ref="F17" r:id="rId33"/>
    <hyperlink ref="D18" r:id="rId34"/>
    <hyperlink ref="E18" r:id="rId35"/>
    <hyperlink ref="F18" r:id="rId36"/>
    <hyperlink ref="D19" r:id="rId37"/>
    <hyperlink ref="E19" r:id="rId38"/>
    <hyperlink ref="F19" r:id="rId39"/>
    <hyperlink ref="D20" r:id="rId40"/>
    <hyperlink ref="E20" r:id="rId41"/>
    <hyperlink ref="F20" r:id="rId42"/>
    <hyperlink ref="D21" r:id="rId43"/>
    <hyperlink ref="E21" r:id="rId44"/>
    <hyperlink ref="F21" r:id="rId45"/>
    <hyperlink ref="D22" r:id="rId46"/>
    <hyperlink ref="E22" r:id="rId47"/>
    <hyperlink ref="F22" r:id="rId48"/>
    <hyperlink ref="D23" r:id="rId49"/>
    <hyperlink ref="E23" r:id="rId50"/>
    <hyperlink ref="F23" r:id="rId51"/>
    <hyperlink ref="D24" r:id="rId52"/>
    <hyperlink ref="E24" r:id="rId53"/>
    <hyperlink ref="F24" r:id="rId54"/>
    <hyperlink ref="D25" r:id="rId55"/>
    <hyperlink ref="E25" r:id="rId56"/>
    <hyperlink ref="F25" r:id="rId57"/>
    <hyperlink ref="D27" r:id="rId58"/>
    <hyperlink ref="E27" r:id="rId59"/>
    <hyperlink ref="F27" r:id="rId60"/>
    <hyperlink ref="D28" r:id="rId61"/>
    <hyperlink ref="E28" r:id="rId62"/>
    <hyperlink ref="F28" r:id="rId63"/>
    <hyperlink ref="D29" r:id="rId64"/>
    <hyperlink ref="E29" r:id="rId65"/>
    <hyperlink ref="F29" r:id="rId66"/>
    <hyperlink ref="D30" r:id="rId67"/>
    <hyperlink ref="E30" r:id="rId68"/>
    <hyperlink ref="F30" r:id="rId69"/>
    <hyperlink ref="D31" r:id="rId70"/>
    <hyperlink ref="E31" r:id="rId71"/>
    <hyperlink ref="F31" r:id="rId72"/>
    <hyperlink ref="D32" r:id="rId73"/>
    <hyperlink ref="E32" r:id="rId74"/>
    <hyperlink ref="F32" r:id="rId75"/>
    <hyperlink ref="D33" r:id="rId76"/>
    <hyperlink ref="E33" r:id="rId77"/>
    <hyperlink ref="F33" r:id="rId78"/>
    <hyperlink ref="D34" r:id="rId79"/>
    <hyperlink ref="E34" r:id="rId80"/>
    <hyperlink ref="F34" r:id="rId81"/>
    <hyperlink ref="D35" r:id="rId82"/>
    <hyperlink ref="E35" r:id="rId83"/>
    <hyperlink ref="F35" r:id="rId84"/>
    <hyperlink ref="D36" r:id="rId85"/>
    <hyperlink ref="E36" r:id="rId86"/>
    <hyperlink ref="F36" r:id="rId87"/>
    <hyperlink ref="D37" r:id="rId88"/>
    <hyperlink ref="E37" r:id="rId89"/>
    <hyperlink ref="F37" r:id="rId90"/>
    <hyperlink ref="D38" r:id="rId91"/>
    <hyperlink ref="E38" r:id="rId92"/>
    <hyperlink ref="F38" r:id="rId93"/>
    <hyperlink ref="D39" r:id="rId94"/>
    <hyperlink ref="E39" r:id="rId95"/>
    <hyperlink ref="F39" r:id="rId96"/>
    <hyperlink ref="D40" r:id="rId97"/>
    <hyperlink ref="E40" r:id="rId98"/>
    <hyperlink ref="F40" r:id="rId99"/>
    <hyperlink ref="D41" r:id="rId100"/>
    <hyperlink ref="E41" r:id="rId101"/>
    <hyperlink ref="F41" r:id="rId102"/>
    <hyperlink ref="D42" r:id="rId103"/>
    <hyperlink ref="E42" r:id="rId104"/>
    <hyperlink ref="F42" r:id="rId105"/>
    <hyperlink ref="D43" r:id="rId106"/>
    <hyperlink ref="E43" r:id="rId107"/>
    <hyperlink ref="F43" r:id="rId108"/>
    <hyperlink ref="D44" r:id="rId109"/>
    <hyperlink ref="E44" r:id="rId110"/>
    <hyperlink ref="F44" r:id="rId111"/>
    <hyperlink ref="D45" r:id="rId112"/>
    <hyperlink ref="E45" r:id="rId113"/>
    <hyperlink ref="F45" r:id="rId114"/>
    <hyperlink ref="D47" r:id="rId115"/>
    <hyperlink ref="E47" r:id="rId116"/>
    <hyperlink ref="F47" r:id="rId117"/>
    <hyperlink ref="D48" r:id="rId118"/>
    <hyperlink ref="E48" r:id="rId119"/>
    <hyperlink ref="F48" r:id="rId120"/>
    <hyperlink ref="D49" r:id="rId121"/>
    <hyperlink ref="E49" r:id="rId122"/>
    <hyperlink ref="F49" r:id="rId123"/>
    <hyperlink ref="D50" r:id="rId124"/>
    <hyperlink ref="E50" r:id="rId125"/>
    <hyperlink ref="F50" r:id="rId126"/>
    <hyperlink ref="D51" r:id="rId127"/>
    <hyperlink ref="E51" r:id="rId128"/>
    <hyperlink ref="F51" r:id="rId129"/>
    <hyperlink ref="D52" r:id="rId130"/>
    <hyperlink ref="E52" r:id="rId131"/>
    <hyperlink ref="F52" r:id="rId132"/>
    <hyperlink ref="D53" r:id="rId133"/>
    <hyperlink ref="E53" r:id="rId134"/>
    <hyperlink ref="F53" r:id="rId135"/>
    <hyperlink ref="D54" r:id="rId136"/>
    <hyperlink ref="E54" r:id="rId137"/>
    <hyperlink ref="F54" r:id="rId138"/>
    <hyperlink ref="D55" r:id="rId139"/>
    <hyperlink ref="E55" r:id="rId140"/>
    <hyperlink ref="F55" r:id="rId141"/>
    <hyperlink ref="D56" r:id="rId142"/>
    <hyperlink ref="E56" r:id="rId143"/>
    <hyperlink ref="F56" r:id="rId144"/>
    <hyperlink ref="D57" r:id="rId145"/>
    <hyperlink ref="E57" r:id="rId146"/>
    <hyperlink ref="F57" r:id="rId147"/>
    <hyperlink ref="D58" r:id="rId148"/>
    <hyperlink ref="E58" r:id="rId149"/>
    <hyperlink ref="F58" r:id="rId150"/>
    <hyperlink ref="D59" r:id="rId151"/>
    <hyperlink ref="E59" r:id="rId152"/>
    <hyperlink ref="F59" r:id="rId153"/>
    <hyperlink ref="D60" r:id="rId154"/>
    <hyperlink ref="E60" r:id="rId155"/>
    <hyperlink ref="F60" r:id="rId156"/>
    <hyperlink ref="D61" r:id="rId157"/>
    <hyperlink ref="E61" r:id="rId158"/>
    <hyperlink ref="F61" r:id="rId159"/>
    <hyperlink ref="D62" r:id="rId160"/>
    <hyperlink ref="E62" r:id="rId161"/>
    <hyperlink ref="F62" r:id="rId162"/>
    <hyperlink ref="D63" r:id="rId163"/>
    <hyperlink ref="E63" r:id="rId164"/>
    <hyperlink ref="F63" r:id="rId165"/>
    <hyperlink ref="D64" r:id="rId166"/>
    <hyperlink ref="E64" r:id="rId167"/>
    <hyperlink ref="F64" r:id="rId168"/>
    <hyperlink ref="D65" r:id="rId169"/>
    <hyperlink ref="E65" r:id="rId170"/>
    <hyperlink ref="F65" r:id="rId171"/>
    <hyperlink ref="D67" r:id="rId172"/>
    <hyperlink ref="E67" r:id="rId173"/>
    <hyperlink ref="F67" r:id="rId174"/>
    <hyperlink ref="D68" r:id="rId175"/>
    <hyperlink ref="E68" r:id="rId176"/>
    <hyperlink ref="F68" r:id="rId177"/>
    <hyperlink ref="D69" r:id="rId178"/>
    <hyperlink ref="E69" r:id="rId179"/>
    <hyperlink ref="F69" r:id="rId180"/>
    <hyperlink ref="D70" r:id="rId181"/>
    <hyperlink ref="E70" r:id="rId182"/>
    <hyperlink ref="F70" r:id="rId183"/>
    <hyperlink ref="D71" r:id="rId184"/>
    <hyperlink ref="E71" r:id="rId185"/>
    <hyperlink ref="F71" r:id="rId186"/>
    <hyperlink ref="D72" r:id="rId187"/>
    <hyperlink ref="E72" r:id="rId188"/>
    <hyperlink ref="F72" r:id="rId189"/>
    <hyperlink ref="D73" r:id="rId190"/>
    <hyperlink ref="E73" r:id="rId191"/>
    <hyperlink ref="F73" r:id="rId192"/>
    <hyperlink ref="D74" r:id="rId193"/>
    <hyperlink ref="E74" r:id="rId194"/>
    <hyperlink ref="F74" r:id="rId195"/>
    <hyperlink ref="D75" r:id="rId196"/>
    <hyperlink ref="E75" r:id="rId197"/>
    <hyperlink ref="F75" r:id="rId198"/>
    <hyperlink ref="D76" r:id="rId199"/>
    <hyperlink ref="E76" r:id="rId200"/>
    <hyperlink ref="F76" r:id="rId201"/>
    <hyperlink ref="D77" r:id="rId202"/>
    <hyperlink ref="E77" r:id="rId203"/>
    <hyperlink ref="F77" r:id="rId204"/>
    <hyperlink ref="D78" r:id="rId205"/>
    <hyperlink ref="E78" r:id="rId206"/>
    <hyperlink ref="F78" r:id="rId207"/>
    <hyperlink ref="D79" r:id="rId208"/>
    <hyperlink ref="E79" r:id="rId209"/>
    <hyperlink ref="F79" r:id="rId210"/>
    <hyperlink ref="D80" r:id="rId211"/>
    <hyperlink ref="E80" r:id="rId212"/>
    <hyperlink ref="F80" r:id="rId213"/>
    <hyperlink ref="D81" r:id="rId214"/>
    <hyperlink ref="E81" r:id="rId215"/>
    <hyperlink ref="F81" r:id="rId216"/>
    <hyperlink ref="D82" r:id="rId217"/>
    <hyperlink ref="E82" r:id="rId218"/>
    <hyperlink ref="F82" r:id="rId219"/>
    <hyperlink ref="D83" r:id="rId220"/>
    <hyperlink ref="E83" r:id="rId221"/>
    <hyperlink ref="F83" r:id="rId222"/>
    <hyperlink ref="D84" r:id="rId223"/>
    <hyperlink ref="E84" r:id="rId224"/>
    <hyperlink ref="F84" r:id="rId225"/>
    <hyperlink ref="D85" r:id="rId226"/>
    <hyperlink ref="E85" r:id="rId227"/>
    <hyperlink ref="F85" r:id="rId228"/>
  </hyperlinks>
  <pageMargins left="0.7" right="0.7" top="0.75" bottom="0.75" header="0.3" footer="0.3"/>
  <pageSetup orientation="portrait" r:id="rId229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77"/>
  <sheetViews>
    <sheetView workbookViewId="0">
      <selection activeCell="A44" sqref="A44"/>
    </sheetView>
  </sheetViews>
  <sheetFormatPr defaultRowHeight="12.75" x14ac:dyDescent="0.2"/>
  <cols>
    <col min="1" max="1" width="17.28515625" bestFit="1" customWidth="1"/>
    <col min="2" max="2" width="8.28515625" bestFit="1" customWidth="1"/>
    <col min="3" max="4" width="3.85546875" bestFit="1" customWidth="1"/>
    <col min="7" max="7" width="21.42578125" bestFit="1" customWidth="1"/>
  </cols>
  <sheetData>
    <row r="2" spans="1:7" x14ac:dyDescent="0.2">
      <c r="A2" t="str">
        <f>'Quorum 3.0'!A6</f>
        <v>TwoTypeObjObj</v>
      </c>
      <c r="B2" t="str">
        <f>LEFT(A2,7)</f>
        <v>TwoType</v>
      </c>
      <c r="C2" t="str">
        <f>LEFT(RIGHT(A2,6),3)</f>
        <v>Obj</v>
      </c>
      <c r="D2" t="str">
        <f>RIGHT(RIGHT(A2,6),3)</f>
        <v>Obj</v>
      </c>
      <c r="E2" t="str">
        <f>'Quorum 3.0'!B7</f>
        <v>BoolObj</v>
      </c>
      <c r="F2" t="str">
        <f>IF('Quorum 3.0'!C7="x", "Pass", "Fail")</f>
        <v>Pass</v>
      </c>
      <c r="G2" t="str">
        <f>B2&amp;","&amp;C2&amp;","&amp;D2&amp;","&amp;E2&amp;","&amp;F2</f>
        <v>TwoType,Obj,Obj,BoolObj,Pass</v>
      </c>
    </row>
    <row r="3" spans="1:7" x14ac:dyDescent="0.2">
      <c r="A3" t="str">
        <f>'Quorum 3.0'!A$6</f>
        <v>TwoTypeObjObj</v>
      </c>
      <c r="B3" t="str">
        <f t="shared" ref="B3:B58" si="0">LEFT(A3,7)</f>
        <v>TwoType</v>
      </c>
      <c r="C3" t="str">
        <f t="shared" ref="C3:C58" si="1">LEFT(RIGHT(A3,6),3)</f>
        <v>Obj</v>
      </c>
      <c r="D3" t="str">
        <f t="shared" ref="D3:D58" si="2">RIGHT(RIGHT(A3,6),3)</f>
        <v>Obj</v>
      </c>
      <c r="E3" t="str">
        <f>'Quorum 3.0'!B8</f>
        <v>boolean</v>
      </c>
      <c r="F3" t="str">
        <f>IF('Quorum 3.0'!C8="x", "Pass", "Fail")</f>
        <v>Pass</v>
      </c>
      <c r="G3" t="str">
        <f t="shared" ref="G3:G58" si="3">B3&amp;","&amp;C3&amp;","&amp;D3&amp;","&amp;E3&amp;","&amp;F3</f>
        <v>TwoType,Obj,Obj,boolean,Pass</v>
      </c>
    </row>
    <row r="4" spans="1:7" x14ac:dyDescent="0.2">
      <c r="A4" t="str">
        <f>'Quorum 3.0'!A$6</f>
        <v>TwoTypeObjObj</v>
      </c>
      <c r="B4" t="str">
        <f t="shared" si="0"/>
        <v>TwoType</v>
      </c>
      <c r="C4" t="str">
        <f t="shared" si="1"/>
        <v>Obj</v>
      </c>
      <c r="D4" t="str">
        <f t="shared" si="2"/>
        <v>Obj</v>
      </c>
      <c r="E4" t="str">
        <f>'Quorum 3.0'!B9</f>
        <v>IntObj</v>
      </c>
      <c r="F4" t="str">
        <f>IF('Quorum 3.0'!C9="x", "Pass", "Fail")</f>
        <v>Pass</v>
      </c>
      <c r="G4" t="str">
        <f t="shared" si="3"/>
        <v>TwoType,Obj,Obj,IntObj,Pass</v>
      </c>
    </row>
    <row r="5" spans="1:7" x14ac:dyDescent="0.2">
      <c r="A5" t="str">
        <f>'Quorum 3.0'!A$6</f>
        <v>TwoTypeObjObj</v>
      </c>
      <c r="B5" t="str">
        <f t="shared" si="0"/>
        <v>TwoType</v>
      </c>
      <c r="C5" t="str">
        <f t="shared" si="1"/>
        <v>Obj</v>
      </c>
      <c r="D5" t="str">
        <f t="shared" si="2"/>
        <v>Obj</v>
      </c>
      <c r="E5" t="str">
        <f>'Quorum 3.0'!B10</f>
        <v>integer</v>
      </c>
      <c r="F5" t="str">
        <f>IF('Quorum 3.0'!C10="x", "Pass", "Fail")</f>
        <v>Pass</v>
      </c>
      <c r="G5" t="str">
        <f t="shared" si="3"/>
        <v>TwoType,Obj,Obj,integer,Pass</v>
      </c>
    </row>
    <row r="6" spans="1:7" x14ac:dyDescent="0.2">
      <c r="A6" t="str">
        <f>'Quorum 3.0'!A$6</f>
        <v>TwoTypeObjObj</v>
      </c>
      <c r="B6" t="str">
        <f t="shared" si="0"/>
        <v>TwoType</v>
      </c>
      <c r="C6" t="str">
        <f t="shared" si="1"/>
        <v>Obj</v>
      </c>
      <c r="D6" t="str">
        <f t="shared" si="2"/>
        <v>Obj</v>
      </c>
      <c r="E6" t="str">
        <f>'Quorum 3.0'!B11</f>
        <v>NumObj</v>
      </c>
      <c r="F6" t="str">
        <f>IF('Quorum 3.0'!C11="x", "Pass", "Fail")</f>
        <v>Pass</v>
      </c>
      <c r="G6" t="str">
        <f t="shared" si="3"/>
        <v>TwoType,Obj,Obj,NumObj,Pass</v>
      </c>
    </row>
    <row r="7" spans="1:7" x14ac:dyDescent="0.2">
      <c r="A7" t="str">
        <f>'Quorum 3.0'!A$6</f>
        <v>TwoTypeObjObj</v>
      </c>
      <c r="B7" t="str">
        <f t="shared" si="0"/>
        <v>TwoType</v>
      </c>
      <c r="C7" t="str">
        <f t="shared" si="1"/>
        <v>Obj</v>
      </c>
      <c r="D7" t="str">
        <f t="shared" si="2"/>
        <v>Obj</v>
      </c>
      <c r="E7" t="str">
        <f>'Quorum 3.0'!B12</f>
        <v>number</v>
      </c>
      <c r="F7" t="str">
        <f>IF('Quorum 3.0'!C12="x", "Pass", "Fail")</f>
        <v>Pass</v>
      </c>
      <c r="G7" t="str">
        <f t="shared" si="3"/>
        <v>TwoType,Obj,Obj,number,Pass</v>
      </c>
    </row>
    <row r="8" spans="1:7" x14ac:dyDescent="0.2">
      <c r="A8" t="str">
        <f>'Quorum 3.0'!A$6</f>
        <v>TwoTypeObjObj</v>
      </c>
      <c r="B8" t="str">
        <f t="shared" si="0"/>
        <v>TwoType</v>
      </c>
      <c r="C8" t="str">
        <f t="shared" si="1"/>
        <v>Obj</v>
      </c>
      <c r="D8" t="str">
        <f t="shared" si="2"/>
        <v>Obj</v>
      </c>
      <c r="E8" t="str">
        <f>'Quorum 3.0'!B13</f>
        <v>Object</v>
      </c>
      <c r="F8" t="str">
        <f>IF('Quorum 3.0'!C13="x", "Pass", "Fail")</f>
        <v>Pass</v>
      </c>
      <c r="G8" t="str">
        <f t="shared" si="3"/>
        <v>TwoType,Obj,Obj,Object,Pass</v>
      </c>
    </row>
    <row r="9" spans="1:7" x14ac:dyDescent="0.2">
      <c r="A9" t="str">
        <f>'Quorum 3.0'!A$6</f>
        <v>TwoTypeObjObj</v>
      </c>
      <c r="B9" t="str">
        <f t="shared" si="0"/>
        <v>TwoType</v>
      </c>
      <c r="C9" t="str">
        <f t="shared" si="1"/>
        <v>Obj</v>
      </c>
      <c r="D9" t="str">
        <f t="shared" si="2"/>
        <v>Obj</v>
      </c>
      <c r="E9" t="str">
        <f>'Quorum 3.0'!B14</f>
        <v>text</v>
      </c>
      <c r="F9" t="str">
        <f>IF('Quorum 3.0'!C14="x", "Pass", "Fail")</f>
        <v>Pass</v>
      </c>
      <c r="G9" t="str">
        <f t="shared" si="3"/>
        <v>TwoType,Obj,Obj,text,Pass</v>
      </c>
    </row>
    <row r="10" spans="1:7" x14ac:dyDescent="0.2">
      <c r="A10" t="str">
        <f>'Quorum 3.0'!A$6</f>
        <v>TwoTypeObjObj</v>
      </c>
      <c r="B10" t="str">
        <f t="shared" si="0"/>
        <v>TwoType</v>
      </c>
      <c r="C10" t="str">
        <f t="shared" si="1"/>
        <v>Obj</v>
      </c>
      <c r="D10" t="str">
        <f t="shared" si="2"/>
        <v>Obj</v>
      </c>
      <c r="E10" t="str">
        <f>'Quorum 3.0'!B15</f>
        <v>TextObj</v>
      </c>
      <c r="F10" t="str">
        <f>IF('Quorum 3.0'!C15="x", "Pass", "Fail")</f>
        <v>Pass</v>
      </c>
      <c r="G10" t="str">
        <f t="shared" si="3"/>
        <v>TwoType,Obj,Obj,TextObj,Pass</v>
      </c>
    </row>
    <row r="11" spans="1:7" x14ac:dyDescent="0.2">
      <c r="A11" t="str">
        <f>'Quorum 3.0'!A$6</f>
        <v>TwoTypeObjObj</v>
      </c>
      <c r="B11" t="str">
        <f t="shared" si="0"/>
        <v>TwoType</v>
      </c>
      <c r="C11" t="str">
        <f t="shared" si="1"/>
        <v>Obj</v>
      </c>
      <c r="D11" t="str">
        <f t="shared" si="2"/>
        <v>Obj</v>
      </c>
      <c r="E11" t="str">
        <f>'Quorum 3.0'!B16</f>
        <v>BoolObj</v>
      </c>
      <c r="F11" t="str">
        <f>IF('Quorum 3.0'!C16="x", "Pass", "Fail")</f>
        <v>Fail</v>
      </c>
      <c r="G11" t="str">
        <f t="shared" si="3"/>
        <v>TwoType,Obj,Obj,BoolObj,Fail</v>
      </c>
    </row>
    <row r="12" spans="1:7" x14ac:dyDescent="0.2">
      <c r="A12" t="str">
        <f>'Quorum 3.0'!A$6</f>
        <v>TwoTypeObjObj</v>
      </c>
      <c r="B12" t="str">
        <f t="shared" si="0"/>
        <v>TwoType</v>
      </c>
      <c r="C12" t="str">
        <f t="shared" si="1"/>
        <v>Obj</v>
      </c>
      <c r="D12" t="str">
        <f t="shared" si="2"/>
        <v>Obj</v>
      </c>
      <c r="E12" t="str">
        <f>'Quorum 3.0'!B17</f>
        <v>boolean</v>
      </c>
      <c r="F12" t="str">
        <f>IF('Quorum 3.0'!C17="x", "Pass", "Fail")</f>
        <v>Fail</v>
      </c>
      <c r="G12" t="str">
        <f t="shared" si="3"/>
        <v>TwoType,Obj,Obj,boolean,Fail</v>
      </c>
    </row>
    <row r="13" spans="1:7" x14ac:dyDescent="0.2">
      <c r="A13" t="str">
        <f>'Quorum 3.0'!A$6</f>
        <v>TwoTypeObjObj</v>
      </c>
      <c r="B13" t="str">
        <f t="shared" si="0"/>
        <v>TwoType</v>
      </c>
      <c r="C13" t="str">
        <f t="shared" si="1"/>
        <v>Obj</v>
      </c>
      <c r="D13" t="str">
        <f t="shared" si="2"/>
        <v>Obj</v>
      </c>
      <c r="E13" t="str">
        <f>'Quorum 3.0'!B18</f>
        <v>IntObj</v>
      </c>
      <c r="F13" t="str">
        <f>IF('Quorum 3.0'!C18="x", "Pass", "Fail")</f>
        <v>Fail</v>
      </c>
      <c r="G13" t="str">
        <f t="shared" si="3"/>
        <v>TwoType,Obj,Obj,IntObj,Fail</v>
      </c>
    </row>
    <row r="14" spans="1:7" x14ac:dyDescent="0.2">
      <c r="A14" t="str">
        <f>'Quorum 3.0'!A$6</f>
        <v>TwoTypeObjObj</v>
      </c>
      <c r="B14" t="str">
        <f t="shared" si="0"/>
        <v>TwoType</v>
      </c>
      <c r="C14" t="str">
        <f t="shared" si="1"/>
        <v>Obj</v>
      </c>
      <c r="D14" t="str">
        <f t="shared" si="2"/>
        <v>Obj</v>
      </c>
      <c r="E14" t="str">
        <f>'Quorum 3.0'!B19</f>
        <v>integer</v>
      </c>
      <c r="F14" t="str">
        <f>IF('Quorum 3.0'!C19="x", "Pass", "Fail")</f>
        <v>Fail</v>
      </c>
      <c r="G14" t="str">
        <f t="shared" si="3"/>
        <v>TwoType,Obj,Obj,integer,Fail</v>
      </c>
    </row>
    <row r="15" spans="1:7" x14ac:dyDescent="0.2">
      <c r="A15" t="str">
        <f>'Quorum 3.0'!A$6</f>
        <v>TwoTypeObjObj</v>
      </c>
      <c r="B15" t="str">
        <f t="shared" si="0"/>
        <v>TwoType</v>
      </c>
      <c r="C15" t="str">
        <f t="shared" si="1"/>
        <v>Obj</v>
      </c>
      <c r="D15" t="str">
        <f t="shared" si="2"/>
        <v>Obj</v>
      </c>
      <c r="E15" t="str">
        <f>'Quorum 3.0'!B20</f>
        <v>NumObj</v>
      </c>
      <c r="F15" t="str">
        <f>IF('Quorum 3.0'!C20="x", "Pass", "Fail")</f>
        <v>Fail</v>
      </c>
      <c r="G15" t="str">
        <f t="shared" si="3"/>
        <v>TwoType,Obj,Obj,NumObj,Fail</v>
      </c>
    </row>
    <row r="16" spans="1:7" x14ac:dyDescent="0.2">
      <c r="A16" t="str">
        <f>'Quorum 3.0'!A$6</f>
        <v>TwoTypeObjObj</v>
      </c>
      <c r="B16" t="str">
        <f t="shared" si="0"/>
        <v>TwoType</v>
      </c>
      <c r="C16" t="str">
        <f t="shared" si="1"/>
        <v>Obj</v>
      </c>
      <c r="D16" t="str">
        <f t="shared" si="2"/>
        <v>Obj</v>
      </c>
      <c r="E16" t="str">
        <f>'Quorum 3.0'!B21</f>
        <v>number</v>
      </c>
      <c r="F16" t="str">
        <f>IF('Quorum 3.0'!C21="x", "Pass", "Fail")</f>
        <v>Fail</v>
      </c>
      <c r="G16" t="str">
        <f t="shared" si="3"/>
        <v>TwoType,Obj,Obj,number,Fail</v>
      </c>
    </row>
    <row r="17" spans="1:7" x14ac:dyDescent="0.2">
      <c r="A17" t="str">
        <f>'Quorum 3.0'!A$6</f>
        <v>TwoTypeObjObj</v>
      </c>
      <c r="B17" t="str">
        <f t="shared" si="0"/>
        <v>TwoType</v>
      </c>
      <c r="C17" t="str">
        <f t="shared" si="1"/>
        <v>Obj</v>
      </c>
      <c r="D17" t="str">
        <f t="shared" si="2"/>
        <v>Obj</v>
      </c>
      <c r="E17" t="str">
        <f>'Quorum 3.0'!B22</f>
        <v>Object</v>
      </c>
      <c r="F17" t="str">
        <f>IF('Quorum 3.0'!C22="x", "Pass", "Fail")</f>
        <v>Fail</v>
      </c>
      <c r="G17" t="str">
        <f t="shared" si="3"/>
        <v>TwoType,Obj,Obj,Object,Fail</v>
      </c>
    </row>
    <row r="18" spans="1:7" x14ac:dyDescent="0.2">
      <c r="A18" t="str">
        <f>'Quorum 3.0'!A$6</f>
        <v>TwoTypeObjObj</v>
      </c>
      <c r="B18" t="str">
        <f t="shared" si="0"/>
        <v>TwoType</v>
      </c>
      <c r="C18" t="str">
        <f t="shared" si="1"/>
        <v>Obj</v>
      </c>
      <c r="D18" t="str">
        <f t="shared" si="2"/>
        <v>Obj</v>
      </c>
      <c r="E18" t="str">
        <f>'Quorum 3.0'!B23</f>
        <v>text</v>
      </c>
      <c r="F18" t="str">
        <f>IF('Quorum 3.0'!C23="x", "Pass", "Fail")</f>
        <v>Fail</v>
      </c>
      <c r="G18" t="str">
        <f t="shared" si="3"/>
        <v>TwoType,Obj,Obj,text,Fail</v>
      </c>
    </row>
    <row r="19" spans="1:7" x14ac:dyDescent="0.2">
      <c r="A19" t="str">
        <f>'Quorum 3.0'!A$6</f>
        <v>TwoTypeObjObj</v>
      </c>
      <c r="B19" t="str">
        <f t="shared" si="0"/>
        <v>TwoType</v>
      </c>
      <c r="C19" t="str">
        <f t="shared" si="1"/>
        <v>Obj</v>
      </c>
      <c r="D19" t="str">
        <f t="shared" si="2"/>
        <v>Obj</v>
      </c>
      <c r="E19" t="str">
        <f>'Quorum 3.0'!B24</f>
        <v>TextObj</v>
      </c>
      <c r="F19" t="str">
        <f>IF('Quorum 3.0'!C24="x", "Pass", "Fail")</f>
        <v>Fail</v>
      </c>
      <c r="G19" t="str">
        <f t="shared" si="3"/>
        <v>TwoType,Obj,Obj,TextObj,Fail</v>
      </c>
    </row>
    <row r="20" spans="1:7" x14ac:dyDescent="0.2">
      <c r="A20" t="str">
        <f>'Quorum 3.0'!A$6</f>
        <v>TwoTypeObjObj</v>
      </c>
      <c r="B20" t="str">
        <f t="shared" si="0"/>
        <v>TwoType</v>
      </c>
      <c r="C20" t="str">
        <f t="shared" si="1"/>
        <v>Obj</v>
      </c>
      <c r="D20" t="str">
        <f t="shared" si="2"/>
        <v>Obj</v>
      </c>
      <c r="E20" t="str">
        <f>'Quorum 3.0'!B25</f>
        <v>undefined</v>
      </c>
      <c r="F20" t="str">
        <f>IF('Quorum 3.0'!C25="x", "Pass", "Fail")</f>
        <v>Fail</v>
      </c>
      <c r="G20" t="str">
        <f t="shared" si="3"/>
        <v>TwoType,Obj,Obj,undefined,Fail</v>
      </c>
    </row>
    <row r="21" spans="1:7" x14ac:dyDescent="0.2">
      <c r="A21" t="str">
        <f>'Quorum 3.0'!A$26</f>
        <v>TwoTypeObjPri</v>
      </c>
      <c r="B21" t="str">
        <f t="shared" si="0"/>
        <v>TwoType</v>
      </c>
      <c r="C21" t="str">
        <f t="shared" si="1"/>
        <v>Obj</v>
      </c>
      <c r="D21" t="str">
        <f t="shared" si="2"/>
        <v>Pri</v>
      </c>
      <c r="E21" t="str">
        <f>'Quorum 3.0'!B27</f>
        <v>BoolObj</v>
      </c>
      <c r="F21" t="str">
        <f>IF('Quorum 3.0'!C27="x", "Pass", "Fail")</f>
        <v>Pass</v>
      </c>
      <c r="G21" t="str">
        <f t="shared" si="3"/>
        <v>TwoType,Obj,Pri,BoolObj,Pass</v>
      </c>
    </row>
    <row r="22" spans="1:7" x14ac:dyDescent="0.2">
      <c r="A22" t="str">
        <f>'Quorum 3.0'!A$26</f>
        <v>TwoTypeObjPri</v>
      </c>
      <c r="B22" t="str">
        <f t="shared" si="0"/>
        <v>TwoType</v>
      </c>
      <c r="C22" t="str">
        <f t="shared" si="1"/>
        <v>Obj</v>
      </c>
      <c r="D22" t="str">
        <f t="shared" si="2"/>
        <v>Pri</v>
      </c>
      <c r="E22" t="str">
        <f>'Quorum 3.0'!B28</f>
        <v>boolean</v>
      </c>
      <c r="F22" t="str">
        <f>IF('Quorum 3.0'!C28="x", "Pass", "Fail")</f>
        <v>Pass</v>
      </c>
      <c r="G22" t="str">
        <f t="shared" si="3"/>
        <v>TwoType,Obj,Pri,boolean,Pass</v>
      </c>
    </row>
    <row r="23" spans="1:7" x14ac:dyDescent="0.2">
      <c r="A23" t="str">
        <f>'Quorum 3.0'!A$26</f>
        <v>TwoTypeObjPri</v>
      </c>
      <c r="B23" t="str">
        <f t="shared" si="0"/>
        <v>TwoType</v>
      </c>
      <c r="C23" t="str">
        <f t="shared" si="1"/>
        <v>Obj</v>
      </c>
      <c r="D23" t="str">
        <f t="shared" si="2"/>
        <v>Pri</v>
      </c>
      <c r="E23" t="str">
        <f>'Quorum 3.0'!B29</f>
        <v>IntObj</v>
      </c>
      <c r="F23" t="str">
        <f>IF('Quorum 3.0'!C29="x", "Pass", "Fail")</f>
        <v>Pass</v>
      </c>
      <c r="G23" t="str">
        <f t="shared" si="3"/>
        <v>TwoType,Obj,Pri,IntObj,Pass</v>
      </c>
    </row>
    <row r="24" spans="1:7" x14ac:dyDescent="0.2">
      <c r="A24" t="str">
        <f>'Quorum 3.0'!A$26</f>
        <v>TwoTypeObjPri</v>
      </c>
      <c r="B24" t="str">
        <f t="shared" si="0"/>
        <v>TwoType</v>
      </c>
      <c r="C24" t="str">
        <f t="shared" si="1"/>
        <v>Obj</v>
      </c>
      <c r="D24" t="str">
        <f t="shared" si="2"/>
        <v>Pri</v>
      </c>
      <c r="E24" t="str">
        <f>'Quorum 3.0'!B30</f>
        <v>integer</v>
      </c>
      <c r="F24" t="str">
        <f>IF('Quorum 3.0'!C30="x", "Pass", "Fail")</f>
        <v>Pass</v>
      </c>
      <c r="G24" t="str">
        <f t="shared" si="3"/>
        <v>TwoType,Obj,Pri,integer,Pass</v>
      </c>
    </row>
    <row r="25" spans="1:7" x14ac:dyDescent="0.2">
      <c r="A25" t="str">
        <f>'Quorum 3.0'!A$26</f>
        <v>TwoTypeObjPri</v>
      </c>
      <c r="B25" t="str">
        <f t="shared" si="0"/>
        <v>TwoType</v>
      </c>
      <c r="C25" t="str">
        <f t="shared" si="1"/>
        <v>Obj</v>
      </c>
      <c r="D25" t="str">
        <f t="shared" si="2"/>
        <v>Pri</v>
      </c>
      <c r="E25" t="str">
        <f>'Quorum 3.0'!B31</f>
        <v>NumObj</v>
      </c>
      <c r="F25" t="str">
        <f>IF('Quorum 3.0'!C31="x", "Pass", "Fail")</f>
        <v>Pass</v>
      </c>
      <c r="G25" t="str">
        <f t="shared" si="3"/>
        <v>TwoType,Obj,Pri,NumObj,Pass</v>
      </c>
    </row>
    <row r="26" spans="1:7" x14ac:dyDescent="0.2">
      <c r="A26" t="str">
        <f>'Quorum 3.0'!A$26</f>
        <v>TwoTypeObjPri</v>
      </c>
      <c r="B26" t="str">
        <f t="shared" si="0"/>
        <v>TwoType</v>
      </c>
      <c r="C26" t="str">
        <f t="shared" si="1"/>
        <v>Obj</v>
      </c>
      <c r="D26" t="str">
        <f t="shared" si="2"/>
        <v>Pri</v>
      </c>
      <c r="E26" t="str">
        <f>'Quorum 3.0'!B32</f>
        <v>number</v>
      </c>
      <c r="F26" t="str">
        <f>IF('Quorum 3.0'!C32="x", "Pass", "Fail")</f>
        <v>Pass</v>
      </c>
      <c r="G26" t="str">
        <f t="shared" si="3"/>
        <v>TwoType,Obj,Pri,number,Pass</v>
      </c>
    </row>
    <row r="27" spans="1:7" x14ac:dyDescent="0.2">
      <c r="A27" t="str">
        <f>'Quorum 3.0'!A$26</f>
        <v>TwoTypeObjPri</v>
      </c>
      <c r="B27" t="str">
        <f t="shared" si="0"/>
        <v>TwoType</v>
      </c>
      <c r="C27" t="str">
        <f t="shared" si="1"/>
        <v>Obj</v>
      </c>
      <c r="D27" t="str">
        <f t="shared" si="2"/>
        <v>Pri</v>
      </c>
      <c r="E27" t="str">
        <f>'Quorum 3.0'!B33</f>
        <v>Object</v>
      </c>
      <c r="F27" t="str">
        <f>IF('Quorum 3.0'!C33="x", "Pass", "Fail")</f>
        <v>Pass</v>
      </c>
      <c r="G27" t="str">
        <f t="shared" si="3"/>
        <v>TwoType,Obj,Pri,Object,Pass</v>
      </c>
    </row>
    <row r="28" spans="1:7" x14ac:dyDescent="0.2">
      <c r="A28" t="str">
        <f>'Quorum 3.0'!A$26</f>
        <v>TwoTypeObjPri</v>
      </c>
      <c r="B28" t="str">
        <f t="shared" si="0"/>
        <v>TwoType</v>
      </c>
      <c r="C28" t="str">
        <f t="shared" si="1"/>
        <v>Obj</v>
      </c>
      <c r="D28" t="str">
        <f t="shared" si="2"/>
        <v>Pri</v>
      </c>
      <c r="E28" t="str">
        <f>'Quorum 3.0'!B34</f>
        <v>text</v>
      </c>
      <c r="F28" t="str">
        <f>IF('Quorum 3.0'!C34="x", "Pass", "Fail")</f>
        <v>Pass</v>
      </c>
      <c r="G28" t="str">
        <f t="shared" si="3"/>
        <v>TwoType,Obj,Pri,text,Pass</v>
      </c>
    </row>
    <row r="29" spans="1:7" x14ac:dyDescent="0.2">
      <c r="A29" t="str">
        <f>'Quorum 3.0'!A$26</f>
        <v>TwoTypeObjPri</v>
      </c>
      <c r="B29" t="str">
        <f t="shared" si="0"/>
        <v>TwoType</v>
      </c>
      <c r="C29" t="str">
        <f t="shared" si="1"/>
        <v>Obj</v>
      </c>
      <c r="D29" t="str">
        <f t="shared" si="2"/>
        <v>Pri</v>
      </c>
      <c r="E29" t="str">
        <f>'Quorum 3.0'!B35</f>
        <v>TextObj</v>
      </c>
      <c r="F29" t="str">
        <f>IF('Quorum 3.0'!C35="x", "Pass", "Fail")</f>
        <v>Pass</v>
      </c>
      <c r="G29" t="str">
        <f t="shared" si="3"/>
        <v>TwoType,Obj,Pri,TextObj,Pass</v>
      </c>
    </row>
    <row r="30" spans="1:7" x14ac:dyDescent="0.2">
      <c r="A30" t="str">
        <f>'Quorum 3.0'!A$26</f>
        <v>TwoTypeObjPri</v>
      </c>
      <c r="B30" t="str">
        <f t="shared" si="0"/>
        <v>TwoType</v>
      </c>
      <c r="C30" t="str">
        <f t="shared" si="1"/>
        <v>Obj</v>
      </c>
      <c r="D30" t="str">
        <f t="shared" si="2"/>
        <v>Pri</v>
      </c>
      <c r="E30" t="str">
        <f>'Quorum 3.0'!B36</f>
        <v>BoolObj</v>
      </c>
      <c r="F30" t="str">
        <f>IF('Quorum 3.0'!C36="x", "Pass", "Fail")</f>
        <v>Fail</v>
      </c>
      <c r="G30" t="str">
        <f t="shared" si="3"/>
        <v>TwoType,Obj,Pri,BoolObj,Fail</v>
      </c>
    </row>
    <row r="31" spans="1:7" x14ac:dyDescent="0.2">
      <c r="A31" t="str">
        <f>'Quorum 3.0'!A$26</f>
        <v>TwoTypeObjPri</v>
      </c>
      <c r="B31" t="str">
        <f t="shared" si="0"/>
        <v>TwoType</v>
      </c>
      <c r="C31" t="str">
        <f t="shared" si="1"/>
        <v>Obj</v>
      </c>
      <c r="D31" t="str">
        <f t="shared" si="2"/>
        <v>Pri</v>
      </c>
      <c r="E31" t="str">
        <f>'Quorum 3.0'!B37</f>
        <v>boolean</v>
      </c>
      <c r="F31" t="str">
        <f>IF('Quorum 3.0'!C37="x", "Pass", "Fail")</f>
        <v>Fail</v>
      </c>
      <c r="G31" t="str">
        <f t="shared" si="3"/>
        <v>TwoType,Obj,Pri,boolean,Fail</v>
      </c>
    </row>
    <row r="32" spans="1:7" x14ac:dyDescent="0.2">
      <c r="A32" t="str">
        <f>'Quorum 3.0'!A$26</f>
        <v>TwoTypeObjPri</v>
      </c>
      <c r="B32" t="str">
        <f t="shared" si="0"/>
        <v>TwoType</v>
      </c>
      <c r="C32" t="str">
        <f t="shared" si="1"/>
        <v>Obj</v>
      </c>
      <c r="D32" t="str">
        <f t="shared" si="2"/>
        <v>Pri</v>
      </c>
      <c r="E32" t="str">
        <f>'Quorum 3.0'!B38</f>
        <v>IntObj</v>
      </c>
      <c r="F32" t="str">
        <f>IF('Quorum 3.0'!C38="x", "Pass", "Fail")</f>
        <v>Fail</v>
      </c>
      <c r="G32" t="str">
        <f t="shared" si="3"/>
        <v>TwoType,Obj,Pri,IntObj,Fail</v>
      </c>
    </row>
    <row r="33" spans="1:7" x14ac:dyDescent="0.2">
      <c r="A33" t="str">
        <f>'Quorum 3.0'!A$26</f>
        <v>TwoTypeObjPri</v>
      </c>
      <c r="B33" t="str">
        <f t="shared" si="0"/>
        <v>TwoType</v>
      </c>
      <c r="C33" t="str">
        <f t="shared" si="1"/>
        <v>Obj</v>
      </c>
      <c r="D33" t="str">
        <f t="shared" si="2"/>
        <v>Pri</v>
      </c>
      <c r="E33" t="str">
        <f>'Quorum 3.0'!B39</f>
        <v>integer</v>
      </c>
      <c r="F33" t="str">
        <f>IF('Quorum 3.0'!C39="x", "Pass", "Fail")</f>
        <v>Fail</v>
      </c>
      <c r="G33" t="str">
        <f t="shared" si="3"/>
        <v>TwoType,Obj,Pri,integer,Fail</v>
      </c>
    </row>
    <row r="34" spans="1:7" x14ac:dyDescent="0.2">
      <c r="A34" t="str">
        <f>'Quorum 3.0'!A$26</f>
        <v>TwoTypeObjPri</v>
      </c>
      <c r="B34" t="str">
        <f t="shared" si="0"/>
        <v>TwoType</v>
      </c>
      <c r="C34" t="str">
        <f t="shared" si="1"/>
        <v>Obj</v>
      </c>
      <c r="D34" t="str">
        <f t="shared" si="2"/>
        <v>Pri</v>
      </c>
      <c r="E34" t="str">
        <f>'Quorum 3.0'!B40</f>
        <v>NumObj</v>
      </c>
      <c r="F34" t="str">
        <f>IF('Quorum 3.0'!C40="x", "Pass", "Fail")</f>
        <v>Fail</v>
      </c>
      <c r="G34" t="str">
        <f t="shared" si="3"/>
        <v>TwoType,Obj,Pri,NumObj,Fail</v>
      </c>
    </row>
    <row r="35" spans="1:7" x14ac:dyDescent="0.2">
      <c r="A35" t="str">
        <f>'Quorum 3.0'!A$26</f>
        <v>TwoTypeObjPri</v>
      </c>
      <c r="B35" t="str">
        <f t="shared" si="0"/>
        <v>TwoType</v>
      </c>
      <c r="C35" t="str">
        <f t="shared" si="1"/>
        <v>Obj</v>
      </c>
      <c r="D35" t="str">
        <f t="shared" si="2"/>
        <v>Pri</v>
      </c>
      <c r="E35" t="str">
        <f>'Quorum 3.0'!B41</f>
        <v>number</v>
      </c>
      <c r="F35" t="str">
        <f>IF('Quorum 3.0'!C41="x", "Pass", "Fail")</f>
        <v>Fail</v>
      </c>
      <c r="G35" t="str">
        <f t="shared" si="3"/>
        <v>TwoType,Obj,Pri,number,Fail</v>
      </c>
    </row>
    <row r="36" spans="1:7" x14ac:dyDescent="0.2">
      <c r="A36" t="str">
        <f>'Quorum 3.0'!A$26</f>
        <v>TwoTypeObjPri</v>
      </c>
      <c r="B36" t="str">
        <f t="shared" si="0"/>
        <v>TwoType</v>
      </c>
      <c r="C36" t="str">
        <f t="shared" si="1"/>
        <v>Obj</v>
      </c>
      <c r="D36" t="str">
        <f t="shared" si="2"/>
        <v>Pri</v>
      </c>
      <c r="E36" t="str">
        <f>'Quorum 3.0'!B42</f>
        <v>Object</v>
      </c>
      <c r="F36" t="str">
        <f>IF('Quorum 3.0'!C42="x", "Pass", "Fail")</f>
        <v>Fail</v>
      </c>
      <c r="G36" t="str">
        <f t="shared" si="3"/>
        <v>TwoType,Obj,Pri,Object,Fail</v>
      </c>
    </row>
    <row r="37" spans="1:7" x14ac:dyDescent="0.2">
      <c r="A37" t="str">
        <f>'Quorum 3.0'!A$26</f>
        <v>TwoTypeObjPri</v>
      </c>
      <c r="B37" t="str">
        <f t="shared" si="0"/>
        <v>TwoType</v>
      </c>
      <c r="C37" t="str">
        <f t="shared" si="1"/>
        <v>Obj</v>
      </c>
      <c r="D37" t="str">
        <f t="shared" si="2"/>
        <v>Pri</v>
      </c>
      <c r="E37" t="str">
        <f>'Quorum 3.0'!B43</f>
        <v>text</v>
      </c>
      <c r="F37" t="str">
        <f>IF('Quorum 3.0'!C43="x", "Pass", "Fail")</f>
        <v>Fail</v>
      </c>
      <c r="G37" t="str">
        <f t="shared" si="3"/>
        <v>TwoType,Obj,Pri,text,Fail</v>
      </c>
    </row>
    <row r="38" spans="1:7" x14ac:dyDescent="0.2">
      <c r="A38" t="str">
        <f>'Quorum 3.0'!A$26</f>
        <v>TwoTypeObjPri</v>
      </c>
      <c r="B38" t="str">
        <f t="shared" si="0"/>
        <v>TwoType</v>
      </c>
      <c r="C38" t="str">
        <f t="shared" si="1"/>
        <v>Obj</v>
      </c>
      <c r="D38" t="str">
        <f t="shared" si="2"/>
        <v>Pri</v>
      </c>
      <c r="E38" t="str">
        <f>'Quorum 3.0'!B44</f>
        <v>TextObj</v>
      </c>
      <c r="F38" t="str">
        <f>IF('Quorum 3.0'!C44="x", "Pass", "Fail")</f>
        <v>Fail</v>
      </c>
      <c r="G38" t="str">
        <f t="shared" si="3"/>
        <v>TwoType,Obj,Pri,TextObj,Fail</v>
      </c>
    </row>
    <row r="39" spans="1:7" x14ac:dyDescent="0.2">
      <c r="A39" t="str">
        <f>'Quorum 3.0'!A$26</f>
        <v>TwoTypeObjPri</v>
      </c>
      <c r="B39" t="str">
        <f t="shared" si="0"/>
        <v>TwoType</v>
      </c>
      <c r="C39" t="str">
        <f t="shared" si="1"/>
        <v>Obj</v>
      </c>
      <c r="D39" t="str">
        <f t="shared" si="2"/>
        <v>Pri</v>
      </c>
      <c r="E39" t="str">
        <f>'Quorum 3.0'!B45</f>
        <v>undefined</v>
      </c>
      <c r="F39" t="str">
        <f>IF('Quorum 3.0'!C45="x", "Pass", "Fail")</f>
        <v>Fail</v>
      </c>
      <c r="G39" t="str">
        <f t="shared" si="3"/>
        <v>TwoType,Obj,Pri,undefined,Fail</v>
      </c>
    </row>
    <row r="40" spans="1:7" x14ac:dyDescent="0.2">
      <c r="A40" t="str">
        <f>'Quorum 3.0'!A$46</f>
        <v>TwoTypePriObj</v>
      </c>
      <c r="B40" t="str">
        <f t="shared" si="0"/>
        <v>TwoType</v>
      </c>
      <c r="C40" t="str">
        <f t="shared" si="1"/>
        <v>Pri</v>
      </c>
      <c r="D40" t="str">
        <f t="shared" si="2"/>
        <v>Obj</v>
      </c>
      <c r="E40" t="str">
        <f>'Quorum 3.0'!B47</f>
        <v>BoolObj</v>
      </c>
      <c r="F40" t="str">
        <f>IF('Quorum 3.0'!C47="x", "Pass", "Fail")</f>
        <v>Pass</v>
      </c>
      <c r="G40" t="str">
        <f t="shared" si="3"/>
        <v>TwoType,Pri,Obj,BoolObj,Pass</v>
      </c>
    </row>
    <row r="41" spans="1:7" x14ac:dyDescent="0.2">
      <c r="A41" t="str">
        <f>'Quorum 3.0'!A$46</f>
        <v>TwoTypePriObj</v>
      </c>
      <c r="B41" t="str">
        <f t="shared" si="0"/>
        <v>TwoType</v>
      </c>
      <c r="C41" t="str">
        <f t="shared" si="1"/>
        <v>Pri</v>
      </c>
      <c r="D41" t="str">
        <f t="shared" si="2"/>
        <v>Obj</v>
      </c>
      <c r="E41" t="str">
        <f>'Quorum 3.0'!B48</f>
        <v>boolean</v>
      </c>
      <c r="F41" t="str">
        <f>IF('Quorum 3.0'!C48="x", "Pass", "Fail")</f>
        <v>Pass</v>
      </c>
      <c r="G41" t="str">
        <f t="shared" si="3"/>
        <v>TwoType,Pri,Obj,boolean,Pass</v>
      </c>
    </row>
    <row r="42" spans="1:7" x14ac:dyDescent="0.2">
      <c r="A42" t="str">
        <f>'Quorum 3.0'!A$46</f>
        <v>TwoTypePriObj</v>
      </c>
      <c r="B42" t="str">
        <f t="shared" si="0"/>
        <v>TwoType</v>
      </c>
      <c r="C42" t="str">
        <f t="shared" si="1"/>
        <v>Pri</v>
      </c>
      <c r="D42" t="str">
        <f t="shared" si="2"/>
        <v>Obj</v>
      </c>
      <c r="E42" t="str">
        <f>'Quorum 3.0'!B49</f>
        <v>IntObj</v>
      </c>
      <c r="F42" t="str">
        <f>IF('Quorum 3.0'!C49="x", "Pass", "Fail")</f>
        <v>Pass</v>
      </c>
      <c r="G42" t="str">
        <f t="shared" si="3"/>
        <v>TwoType,Pri,Obj,IntObj,Pass</v>
      </c>
    </row>
    <row r="43" spans="1:7" x14ac:dyDescent="0.2">
      <c r="A43" t="str">
        <f>'Quorum 3.0'!A$46</f>
        <v>TwoTypePriObj</v>
      </c>
      <c r="B43" t="str">
        <f t="shared" si="0"/>
        <v>TwoType</v>
      </c>
      <c r="C43" t="str">
        <f t="shared" si="1"/>
        <v>Pri</v>
      </c>
      <c r="D43" t="str">
        <f t="shared" si="2"/>
        <v>Obj</v>
      </c>
      <c r="E43" t="str">
        <f>'Quorum 3.0'!B50</f>
        <v>integer</v>
      </c>
      <c r="F43" t="str">
        <f>IF('Quorum 3.0'!C50="x", "Pass", "Fail")</f>
        <v>Pass</v>
      </c>
      <c r="G43" t="str">
        <f t="shared" si="3"/>
        <v>TwoType,Pri,Obj,integer,Pass</v>
      </c>
    </row>
    <row r="44" spans="1:7" x14ac:dyDescent="0.2">
      <c r="A44" t="str">
        <f>'Quorum 3.0'!A$46</f>
        <v>TwoTypePriObj</v>
      </c>
      <c r="B44" t="str">
        <f t="shared" si="0"/>
        <v>TwoType</v>
      </c>
      <c r="C44" t="str">
        <f t="shared" si="1"/>
        <v>Pri</v>
      </c>
      <c r="D44" t="str">
        <f t="shared" si="2"/>
        <v>Obj</v>
      </c>
      <c r="E44" t="str">
        <f>'Quorum 3.0'!B51</f>
        <v>NumObj</v>
      </c>
      <c r="F44" t="str">
        <f>IF('Quorum 3.0'!C51="x", "Pass", "Fail")</f>
        <v>Pass</v>
      </c>
      <c r="G44" t="str">
        <f t="shared" si="3"/>
        <v>TwoType,Pri,Obj,NumObj,Pass</v>
      </c>
    </row>
    <row r="45" spans="1:7" x14ac:dyDescent="0.2">
      <c r="A45" t="str">
        <f>'Quorum 3.0'!A$46</f>
        <v>TwoTypePriObj</v>
      </c>
      <c r="B45" t="str">
        <f t="shared" si="0"/>
        <v>TwoType</v>
      </c>
      <c r="C45" t="str">
        <f t="shared" si="1"/>
        <v>Pri</v>
      </c>
      <c r="D45" t="str">
        <f t="shared" si="2"/>
        <v>Obj</v>
      </c>
      <c r="E45" t="str">
        <f>'Quorum 3.0'!B52</f>
        <v>number</v>
      </c>
      <c r="F45" t="str">
        <f>IF('Quorum 3.0'!C52="x", "Pass", "Fail")</f>
        <v>Pass</v>
      </c>
      <c r="G45" t="str">
        <f t="shared" si="3"/>
        <v>TwoType,Pri,Obj,number,Pass</v>
      </c>
    </row>
    <row r="46" spans="1:7" x14ac:dyDescent="0.2">
      <c r="A46" t="str">
        <f>'Quorum 3.0'!A$46</f>
        <v>TwoTypePriObj</v>
      </c>
      <c r="B46" t="str">
        <f t="shared" si="0"/>
        <v>TwoType</v>
      </c>
      <c r="C46" t="str">
        <f t="shared" si="1"/>
        <v>Pri</v>
      </c>
      <c r="D46" t="str">
        <f t="shared" si="2"/>
        <v>Obj</v>
      </c>
      <c r="E46" t="str">
        <f>'Quorum 3.0'!B53</f>
        <v>Object</v>
      </c>
      <c r="F46" t="str">
        <f>IF('Quorum 3.0'!C53="x", "Pass", "Fail")</f>
        <v>Pass</v>
      </c>
      <c r="G46" t="str">
        <f t="shared" si="3"/>
        <v>TwoType,Pri,Obj,Object,Pass</v>
      </c>
    </row>
    <row r="47" spans="1:7" x14ac:dyDescent="0.2">
      <c r="A47" t="str">
        <f>'Quorum 3.0'!A$46</f>
        <v>TwoTypePriObj</v>
      </c>
      <c r="B47" t="str">
        <f t="shared" si="0"/>
        <v>TwoType</v>
      </c>
      <c r="C47" t="str">
        <f t="shared" si="1"/>
        <v>Pri</v>
      </c>
      <c r="D47" t="str">
        <f t="shared" si="2"/>
        <v>Obj</v>
      </c>
      <c r="E47" t="str">
        <f>'Quorum 3.0'!B54</f>
        <v>text</v>
      </c>
      <c r="F47" t="str">
        <f>IF('Quorum 3.0'!C54="x", "Pass", "Fail")</f>
        <v>Pass</v>
      </c>
      <c r="G47" t="str">
        <f t="shared" si="3"/>
        <v>TwoType,Pri,Obj,text,Pass</v>
      </c>
    </row>
    <row r="48" spans="1:7" x14ac:dyDescent="0.2">
      <c r="A48" t="str">
        <f>'Quorum 3.0'!A$46</f>
        <v>TwoTypePriObj</v>
      </c>
      <c r="B48" t="str">
        <f t="shared" si="0"/>
        <v>TwoType</v>
      </c>
      <c r="C48" t="str">
        <f t="shared" si="1"/>
        <v>Pri</v>
      </c>
      <c r="D48" t="str">
        <f t="shared" si="2"/>
        <v>Obj</v>
      </c>
      <c r="E48" t="str">
        <f>'Quorum 3.0'!B55</f>
        <v>TextObj</v>
      </c>
      <c r="F48" t="str">
        <f>IF('Quorum 3.0'!C55="x", "Pass", "Fail")</f>
        <v>Pass</v>
      </c>
      <c r="G48" t="str">
        <f t="shared" si="3"/>
        <v>TwoType,Pri,Obj,TextObj,Pass</v>
      </c>
    </row>
    <row r="49" spans="1:7" x14ac:dyDescent="0.2">
      <c r="A49" t="str">
        <f>'Quorum 3.0'!A$46</f>
        <v>TwoTypePriObj</v>
      </c>
      <c r="B49" t="str">
        <f t="shared" si="0"/>
        <v>TwoType</v>
      </c>
      <c r="C49" t="str">
        <f t="shared" si="1"/>
        <v>Pri</v>
      </c>
      <c r="D49" t="str">
        <f t="shared" si="2"/>
        <v>Obj</v>
      </c>
      <c r="E49" t="str">
        <f>'Quorum 3.0'!B56</f>
        <v>BoolObj</v>
      </c>
      <c r="F49" t="str">
        <f>IF('Quorum 3.0'!C56="x", "Pass", "Fail")</f>
        <v>Fail</v>
      </c>
      <c r="G49" t="str">
        <f t="shared" si="3"/>
        <v>TwoType,Pri,Obj,BoolObj,Fail</v>
      </c>
    </row>
    <row r="50" spans="1:7" x14ac:dyDescent="0.2">
      <c r="A50" t="str">
        <f>'Quorum 3.0'!A$46</f>
        <v>TwoTypePriObj</v>
      </c>
      <c r="B50" t="str">
        <f t="shared" si="0"/>
        <v>TwoType</v>
      </c>
      <c r="C50" t="str">
        <f t="shared" si="1"/>
        <v>Pri</v>
      </c>
      <c r="D50" t="str">
        <f t="shared" si="2"/>
        <v>Obj</v>
      </c>
      <c r="E50" t="str">
        <f>'Quorum 3.0'!B57</f>
        <v>boolean</v>
      </c>
      <c r="F50" t="str">
        <f>IF('Quorum 3.0'!C57="x", "Pass", "Fail")</f>
        <v>Fail</v>
      </c>
      <c r="G50" t="str">
        <f t="shared" si="3"/>
        <v>TwoType,Pri,Obj,boolean,Fail</v>
      </c>
    </row>
    <row r="51" spans="1:7" x14ac:dyDescent="0.2">
      <c r="A51" t="str">
        <f>'Quorum 3.0'!A$46</f>
        <v>TwoTypePriObj</v>
      </c>
      <c r="B51" t="str">
        <f t="shared" si="0"/>
        <v>TwoType</v>
      </c>
      <c r="C51" t="str">
        <f t="shared" si="1"/>
        <v>Pri</v>
      </c>
      <c r="D51" t="str">
        <f t="shared" si="2"/>
        <v>Obj</v>
      </c>
      <c r="E51" t="str">
        <f>'Quorum 3.0'!B58</f>
        <v>IntObj</v>
      </c>
      <c r="F51" t="str">
        <f>IF('Quorum 3.0'!C58="x", "Pass", "Fail")</f>
        <v>Fail</v>
      </c>
      <c r="G51" t="str">
        <f t="shared" si="3"/>
        <v>TwoType,Pri,Obj,IntObj,Fail</v>
      </c>
    </row>
    <row r="52" spans="1:7" x14ac:dyDescent="0.2">
      <c r="A52" t="str">
        <f>'Quorum 3.0'!A$46</f>
        <v>TwoTypePriObj</v>
      </c>
      <c r="B52" t="str">
        <f t="shared" si="0"/>
        <v>TwoType</v>
      </c>
      <c r="C52" t="str">
        <f t="shared" si="1"/>
        <v>Pri</v>
      </c>
      <c r="D52" t="str">
        <f t="shared" si="2"/>
        <v>Obj</v>
      </c>
      <c r="E52" t="str">
        <f>'Quorum 3.0'!B59</f>
        <v>integer</v>
      </c>
      <c r="F52" t="str">
        <f>IF('Quorum 3.0'!C59="x", "Pass", "Fail")</f>
        <v>Fail</v>
      </c>
      <c r="G52" t="str">
        <f t="shared" si="3"/>
        <v>TwoType,Pri,Obj,integer,Fail</v>
      </c>
    </row>
    <row r="53" spans="1:7" x14ac:dyDescent="0.2">
      <c r="A53" t="str">
        <f>'Quorum 3.0'!A$46</f>
        <v>TwoTypePriObj</v>
      </c>
      <c r="B53" t="str">
        <f t="shared" si="0"/>
        <v>TwoType</v>
      </c>
      <c r="C53" t="str">
        <f t="shared" si="1"/>
        <v>Pri</v>
      </c>
      <c r="D53" t="str">
        <f t="shared" si="2"/>
        <v>Obj</v>
      </c>
      <c r="E53" t="str">
        <f>'Quorum 3.0'!B60</f>
        <v>NumObj</v>
      </c>
      <c r="F53" t="str">
        <f>IF('Quorum 3.0'!C60="x", "Pass", "Fail")</f>
        <v>Fail</v>
      </c>
      <c r="G53" t="str">
        <f t="shared" si="3"/>
        <v>TwoType,Pri,Obj,NumObj,Fail</v>
      </c>
    </row>
    <row r="54" spans="1:7" x14ac:dyDescent="0.2">
      <c r="A54" t="str">
        <f>'Quorum 3.0'!A$46</f>
        <v>TwoTypePriObj</v>
      </c>
      <c r="B54" t="str">
        <f t="shared" si="0"/>
        <v>TwoType</v>
      </c>
      <c r="C54" t="str">
        <f t="shared" si="1"/>
        <v>Pri</v>
      </c>
      <c r="D54" t="str">
        <f t="shared" si="2"/>
        <v>Obj</v>
      </c>
      <c r="E54" t="str">
        <f>'Quorum 3.0'!B61</f>
        <v>number</v>
      </c>
      <c r="F54" t="str">
        <f>IF('Quorum 3.0'!C61="x", "Pass", "Fail")</f>
        <v>Fail</v>
      </c>
      <c r="G54" t="str">
        <f t="shared" si="3"/>
        <v>TwoType,Pri,Obj,number,Fail</v>
      </c>
    </row>
    <row r="55" spans="1:7" x14ac:dyDescent="0.2">
      <c r="A55" t="str">
        <f>'Quorum 3.0'!A$46</f>
        <v>TwoTypePriObj</v>
      </c>
      <c r="B55" t="str">
        <f t="shared" si="0"/>
        <v>TwoType</v>
      </c>
      <c r="C55" t="str">
        <f t="shared" si="1"/>
        <v>Pri</v>
      </c>
      <c r="D55" t="str">
        <f t="shared" si="2"/>
        <v>Obj</v>
      </c>
      <c r="E55" t="str">
        <f>'Quorum 3.0'!B62</f>
        <v>Object</v>
      </c>
      <c r="F55" t="str">
        <f>IF('Quorum 3.0'!C62="x", "Pass", "Fail")</f>
        <v>Fail</v>
      </c>
      <c r="G55" t="str">
        <f t="shared" si="3"/>
        <v>TwoType,Pri,Obj,Object,Fail</v>
      </c>
    </row>
    <row r="56" spans="1:7" x14ac:dyDescent="0.2">
      <c r="A56" t="str">
        <f>'Quorum 3.0'!A$46</f>
        <v>TwoTypePriObj</v>
      </c>
      <c r="B56" t="str">
        <f t="shared" si="0"/>
        <v>TwoType</v>
      </c>
      <c r="C56" t="str">
        <f t="shared" si="1"/>
        <v>Pri</v>
      </c>
      <c r="D56" t="str">
        <f t="shared" si="2"/>
        <v>Obj</v>
      </c>
      <c r="E56" t="str">
        <f>'Quorum 3.0'!B63</f>
        <v>text</v>
      </c>
      <c r="F56" t="str">
        <f>IF('Quorum 3.0'!C63="x", "Pass", "Fail")</f>
        <v>Fail</v>
      </c>
      <c r="G56" t="str">
        <f t="shared" si="3"/>
        <v>TwoType,Pri,Obj,text,Fail</v>
      </c>
    </row>
    <row r="57" spans="1:7" x14ac:dyDescent="0.2">
      <c r="A57" t="str">
        <f>'Quorum 3.0'!A$46</f>
        <v>TwoTypePriObj</v>
      </c>
      <c r="B57" t="str">
        <f t="shared" si="0"/>
        <v>TwoType</v>
      </c>
      <c r="C57" t="str">
        <f t="shared" si="1"/>
        <v>Pri</v>
      </c>
      <c r="D57" t="str">
        <f t="shared" si="2"/>
        <v>Obj</v>
      </c>
      <c r="E57" t="str">
        <f>'Quorum 3.0'!B64</f>
        <v>TextObj</v>
      </c>
      <c r="F57" t="str">
        <f>IF('Quorum 3.0'!C64="x", "Pass", "Fail")</f>
        <v>Fail</v>
      </c>
      <c r="G57" t="str">
        <f t="shared" si="3"/>
        <v>TwoType,Pri,Obj,TextObj,Fail</v>
      </c>
    </row>
    <row r="58" spans="1:7" x14ac:dyDescent="0.2">
      <c r="A58" t="str">
        <f>'Quorum 3.0'!A$46</f>
        <v>TwoTypePriObj</v>
      </c>
      <c r="B58" t="str">
        <f t="shared" si="0"/>
        <v>TwoType</v>
      </c>
      <c r="C58" t="str">
        <f t="shared" si="1"/>
        <v>Pri</v>
      </c>
      <c r="D58" t="str">
        <f t="shared" si="2"/>
        <v>Obj</v>
      </c>
      <c r="E58" t="str">
        <f>'Quorum 3.0'!B65</f>
        <v>undefined</v>
      </c>
      <c r="F58" t="str">
        <f>IF('Quorum 3.0'!C65="x", "Pass", "Fail")</f>
        <v>Fail</v>
      </c>
      <c r="G58" t="str">
        <f t="shared" si="3"/>
        <v>TwoType,Pri,Obj,undefined,Fail</v>
      </c>
    </row>
    <row r="59" spans="1:7" x14ac:dyDescent="0.2">
      <c r="A59" t="str">
        <f>'Quorum 3.0'!A$66</f>
        <v>TwoTypePriPri</v>
      </c>
      <c r="B59" t="str">
        <f t="shared" ref="B59:B77" si="4">LEFT(A59,7)</f>
        <v>TwoType</v>
      </c>
      <c r="C59" t="str">
        <f t="shared" ref="C59:C77" si="5">LEFT(RIGHT(A59,6),3)</f>
        <v>Pri</v>
      </c>
      <c r="D59" t="str">
        <f t="shared" ref="D59:D77" si="6">RIGHT(RIGHT(A59,6),3)</f>
        <v>Pri</v>
      </c>
      <c r="E59" t="str">
        <f>'Quorum 3.0'!B67</f>
        <v>BoolObj</v>
      </c>
      <c r="F59" t="str">
        <f>IF('Quorum 3.0'!C67="x", "Pass", "Fail")</f>
        <v>Pass</v>
      </c>
      <c r="G59" t="str">
        <f t="shared" ref="G59:G77" si="7">B59&amp;","&amp;C59&amp;","&amp;D59&amp;","&amp;E59&amp;","&amp;F59</f>
        <v>TwoType,Pri,Pri,BoolObj,Pass</v>
      </c>
    </row>
    <row r="60" spans="1:7" x14ac:dyDescent="0.2">
      <c r="A60" t="str">
        <f>'Quorum 3.0'!A$66</f>
        <v>TwoTypePriPri</v>
      </c>
      <c r="B60" t="str">
        <f t="shared" si="4"/>
        <v>TwoType</v>
      </c>
      <c r="C60" t="str">
        <f t="shared" si="5"/>
        <v>Pri</v>
      </c>
      <c r="D60" t="str">
        <f t="shared" si="6"/>
        <v>Pri</v>
      </c>
      <c r="E60" t="str">
        <f>'Quorum 3.0'!B68</f>
        <v>boolean</v>
      </c>
      <c r="F60" t="str">
        <f>IF('Quorum 3.0'!C68="x", "Pass", "Fail")</f>
        <v>Pass</v>
      </c>
      <c r="G60" t="str">
        <f t="shared" si="7"/>
        <v>TwoType,Pri,Pri,boolean,Pass</v>
      </c>
    </row>
    <row r="61" spans="1:7" x14ac:dyDescent="0.2">
      <c r="A61" t="str">
        <f>'Quorum 3.0'!A$66</f>
        <v>TwoTypePriPri</v>
      </c>
      <c r="B61" t="str">
        <f t="shared" si="4"/>
        <v>TwoType</v>
      </c>
      <c r="C61" t="str">
        <f t="shared" si="5"/>
        <v>Pri</v>
      </c>
      <c r="D61" t="str">
        <f t="shared" si="6"/>
        <v>Pri</v>
      </c>
      <c r="E61" t="str">
        <f>'Quorum 3.0'!B69</f>
        <v>IntObj</v>
      </c>
      <c r="F61" t="str">
        <f>IF('Quorum 3.0'!C69="x", "Pass", "Fail")</f>
        <v>Pass</v>
      </c>
      <c r="G61" t="str">
        <f t="shared" si="7"/>
        <v>TwoType,Pri,Pri,IntObj,Pass</v>
      </c>
    </row>
    <row r="62" spans="1:7" x14ac:dyDescent="0.2">
      <c r="A62" t="str">
        <f>'Quorum 3.0'!A$66</f>
        <v>TwoTypePriPri</v>
      </c>
      <c r="B62" t="str">
        <f t="shared" si="4"/>
        <v>TwoType</v>
      </c>
      <c r="C62" t="str">
        <f t="shared" si="5"/>
        <v>Pri</v>
      </c>
      <c r="D62" t="str">
        <f t="shared" si="6"/>
        <v>Pri</v>
      </c>
      <c r="E62" t="str">
        <f>'Quorum 3.0'!B70</f>
        <v>integer</v>
      </c>
      <c r="F62" t="str">
        <f>IF('Quorum 3.0'!C70="x", "Pass", "Fail")</f>
        <v>Pass</v>
      </c>
      <c r="G62" t="str">
        <f t="shared" si="7"/>
        <v>TwoType,Pri,Pri,integer,Pass</v>
      </c>
    </row>
    <row r="63" spans="1:7" x14ac:dyDescent="0.2">
      <c r="A63" t="str">
        <f>'Quorum 3.0'!A$66</f>
        <v>TwoTypePriPri</v>
      </c>
      <c r="B63" t="str">
        <f t="shared" si="4"/>
        <v>TwoType</v>
      </c>
      <c r="C63" t="str">
        <f t="shared" si="5"/>
        <v>Pri</v>
      </c>
      <c r="D63" t="str">
        <f t="shared" si="6"/>
        <v>Pri</v>
      </c>
      <c r="E63" t="str">
        <f>'Quorum 3.0'!B71</f>
        <v>NumObj</v>
      </c>
      <c r="F63" t="str">
        <f>IF('Quorum 3.0'!C71="x", "Pass", "Fail")</f>
        <v>Pass</v>
      </c>
      <c r="G63" t="str">
        <f t="shared" si="7"/>
        <v>TwoType,Pri,Pri,NumObj,Pass</v>
      </c>
    </row>
    <row r="64" spans="1:7" x14ac:dyDescent="0.2">
      <c r="A64" t="str">
        <f>'Quorum 3.0'!A$66</f>
        <v>TwoTypePriPri</v>
      </c>
      <c r="B64" t="str">
        <f t="shared" si="4"/>
        <v>TwoType</v>
      </c>
      <c r="C64" t="str">
        <f t="shared" si="5"/>
        <v>Pri</v>
      </c>
      <c r="D64" t="str">
        <f t="shared" si="6"/>
        <v>Pri</v>
      </c>
      <c r="E64" t="str">
        <f>'Quorum 3.0'!B72</f>
        <v>number</v>
      </c>
      <c r="F64" t="str">
        <f>IF('Quorum 3.0'!C72="x", "Pass", "Fail")</f>
        <v>Pass</v>
      </c>
      <c r="G64" t="str">
        <f t="shared" si="7"/>
        <v>TwoType,Pri,Pri,number,Pass</v>
      </c>
    </row>
    <row r="65" spans="1:7" x14ac:dyDescent="0.2">
      <c r="A65" t="str">
        <f>'Quorum 3.0'!A$66</f>
        <v>TwoTypePriPri</v>
      </c>
      <c r="B65" t="str">
        <f t="shared" si="4"/>
        <v>TwoType</v>
      </c>
      <c r="C65" t="str">
        <f t="shared" si="5"/>
        <v>Pri</v>
      </c>
      <c r="D65" t="str">
        <f t="shared" si="6"/>
        <v>Pri</v>
      </c>
      <c r="E65" t="str">
        <f>'Quorum 3.0'!B73</f>
        <v>Object</v>
      </c>
      <c r="F65" t="str">
        <f>IF('Quorum 3.0'!C73="x", "Pass", "Fail")</f>
        <v>Pass</v>
      </c>
      <c r="G65" t="str">
        <f t="shared" si="7"/>
        <v>TwoType,Pri,Pri,Object,Pass</v>
      </c>
    </row>
    <row r="66" spans="1:7" x14ac:dyDescent="0.2">
      <c r="A66" t="str">
        <f>'Quorum 3.0'!A$66</f>
        <v>TwoTypePriPri</v>
      </c>
      <c r="B66" t="str">
        <f t="shared" si="4"/>
        <v>TwoType</v>
      </c>
      <c r="C66" t="str">
        <f t="shared" si="5"/>
        <v>Pri</v>
      </c>
      <c r="D66" t="str">
        <f t="shared" si="6"/>
        <v>Pri</v>
      </c>
      <c r="E66" t="str">
        <f>'Quorum 3.0'!B74</f>
        <v>text</v>
      </c>
      <c r="F66" t="str">
        <f>IF('Quorum 3.0'!C74="x", "Pass", "Fail")</f>
        <v>Pass</v>
      </c>
      <c r="G66" t="str">
        <f t="shared" si="7"/>
        <v>TwoType,Pri,Pri,text,Pass</v>
      </c>
    </row>
    <row r="67" spans="1:7" x14ac:dyDescent="0.2">
      <c r="A67" t="str">
        <f>'Quorum 3.0'!A$66</f>
        <v>TwoTypePriPri</v>
      </c>
      <c r="B67" t="str">
        <f t="shared" si="4"/>
        <v>TwoType</v>
      </c>
      <c r="C67" t="str">
        <f t="shared" si="5"/>
        <v>Pri</v>
      </c>
      <c r="D67" t="str">
        <f t="shared" si="6"/>
        <v>Pri</v>
      </c>
      <c r="E67" t="str">
        <f>'Quorum 3.0'!B75</f>
        <v>TextObj</v>
      </c>
      <c r="F67" t="str">
        <f>IF('Quorum 3.0'!C75="x", "Pass", "Fail")</f>
        <v>Pass</v>
      </c>
      <c r="G67" t="str">
        <f t="shared" si="7"/>
        <v>TwoType,Pri,Pri,TextObj,Pass</v>
      </c>
    </row>
    <row r="68" spans="1:7" x14ac:dyDescent="0.2">
      <c r="A68" t="str">
        <f>'Quorum 3.0'!A$66</f>
        <v>TwoTypePriPri</v>
      </c>
      <c r="B68" t="str">
        <f t="shared" si="4"/>
        <v>TwoType</v>
      </c>
      <c r="C68" t="str">
        <f t="shared" si="5"/>
        <v>Pri</v>
      </c>
      <c r="D68" t="str">
        <f t="shared" si="6"/>
        <v>Pri</v>
      </c>
      <c r="E68" t="str">
        <f>'Quorum 3.0'!B76</f>
        <v>BoolObj</v>
      </c>
      <c r="F68" t="str">
        <f>IF('Quorum 3.0'!C76="x", "Pass", "Fail")</f>
        <v>Fail</v>
      </c>
      <c r="G68" t="str">
        <f t="shared" si="7"/>
        <v>TwoType,Pri,Pri,BoolObj,Fail</v>
      </c>
    </row>
    <row r="69" spans="1:7" x14ac:dyDescent="0.2">
      <c r="A69" t="str">
        <f>'Quorum 3.0'!A$66</f>
        <v>TwoTypePriPri</v>
      </c>
      <c r="B69" t="str">
        <f t="shared" si="4"/>
        <v>TwoType</v>
      </c>
      <c r="C69" t="str">
        <f t="shared" si="5"/>
        <v>Pri</v>
      </c>
      <c r="D69" t="str">
        <f t="shared" si="6"/>
        <v>Pri</v>
      </c>
      <c r="E69" t="str">
        <f>'Quorum 3.0'!B77</f>
        <v>boolean</v>
      </c>
      <c r="F69" t="str">
        <f>IF('Quorum 3.0'!C77="x", "Pass", "Fail")</f>
        <v>Fail</v>
      </c>
      <c r="G69" t="str">
        <f t="shared" si="7"/>
        <v>TwoType,Pri,Pri,boolean,Fail</v>
      </c>
    </row>
    <row r="70" spans="1:7" x14ac:dyDescent="0.2">
      <c r="A70" t="str">
        <f>'Quorum 3.0'!A$66</f>
        <v>TwoTypePriPri</v>
      </c>
      <c r="B70" t="str">
        <f t="shared" si="4"/>
        <v>TwoType</v>
      </c>
      <c r="C70" t="str">
        <f t="shared" si="5"/>
        <v>Pri</v>
      </c>
      <c r="D70" t="str">
        <f t="shared" si="6"/>
        <v>Pri</v>
      </c>
      <c r="E70" t="str">
        <f>'Quorum 3.0'!B78</f>
        <v>IntObj</v>
      </c>
      <c r="F70" t="str">
        <f>IF('Quorum 3.0'!C78="x", "Pass", "Fail")</f>
        <v>Fail</v>
      </c>
      <c r="G70" t="str">
        <f t="shared" si="7"/>
        <v>TwoType,Pri,Pri,IntObj,Fail</v>
      </c>
    </row>
    <row r="71" spans="1:7" x14ac:dyDescent="0.2">
      <c r="A71" t="str">
        <f>'Quorum 3.0'!A$66</f>
        <v>TwoTypePriPri</v>
      </c>
      <c r="B71" t="str">
        <f t="shared" si="4"/>
        <v>TwoType</v>
      </c>
      <c r="C71" t="str">
        <f t="shared" si="5"/>
        <v>Pri</v>
      </c>
      <c r="D71" t="str">
        <f t="shared" si="6"/>
        <v>Pri</v>
      </c>
      <c r="E71" t="str">
        <f>'Quorum 3.0'!B79</f>
        <v>integer</v>
      </c>
      <c r="F71" t="str">
        <f>IF('Quorum 3.0'!C79="x", "Pass", "Fail")</f>
        <v>Fail</v>
      </c>
      <c r="G71" t="str">
        <f t="shared" si="7"/>
        <v>TwoType,Pri,Pri,integer,Fail</v>
      </c>
    </row>
    <row r="72" spans="1:7" x14ac:dyDescent="0.2">
      <c r="A72" t="str">
        <f>'Quorum 3.0'!A$66</f>
        <v>TwoTypePriPri</v>
      </c>
      <c r="B72" t="str">
        <f t="shared" si="4"/>
        <v>TwoType</v>
      </c>
      <c r="C72" t="str">
        <f t="shared" si="5"/>
        <v>Pri</v>
      </c>
      <c r="D72" t="str">
        <f t="shared" si="6"/>
        <v>Pri</v>
      </c>
      <c r="E72" t="str">
        <f>'Quorum 3.0'!B80</f>
        <v>NumObj</v>
      </c>
      <c r="F72" t="str">
        <f>IF('Quorum 3.0'!C80="x", "Pass", "Fail")</f>
        <v>Fail</v>
      </c>
      <c r="G72" t="str">
        <f t="shared" si="7"/>
        <v>TwoType,Pri,Pri,NumObj,Fail</v>
      </c>
    </row>
    <row r="73" spans="1:7" x14ac:dyDescent="0.2">
      <c r="A73" t="str">
        <f>'Quorum 3.0'!A$66</f>
        <v>TwoTypePriPri</v>
      </c>
      <c r="B73" t="str">
        <f t="shared" si="4"/>
        <v>TwoType</v>
      </c>
      <c r="C73" t="str">
        <f t="shared" si="5"/>
        <v>Pri</v>
      </c>
      <c r="D73" t="str">
        <f t="shared" si="6"/>
        <v>Pri</v>
      </c>
      <c r="E73" t="str">
        <f>'Quorum 3.0'!B81</f>
        <v>number</v>
      </c>
      <c r="F73" t="str">
        <f>IF('Quorum 3.0'!C81="x", "Pass", "Fail")</f>
        <v>Fail</v>
      </c>
      <c r="G73" t="str">
        <f t="shared" si="7"/>
        <v>TwoType,Pri,Pri,number,Fail</v>
      </c>
    </row>
    <row r="74" spans="1:7" x14ac:dyDescent="0.2">
      <c r="A74" t="str">
        <f>'Quorum 3.0'!A$66</f>
        <v>TwoTypePriPri</v>
      </c>
      <c r="B74" t="str">
        <f t="shared" si="4"/>
        <v>TwoType</v>
      </c>
      <c r="C74" t="str">
        <f t="shared" si="5"/>
        <v>Pri</v>
      </c>
      <c r="D74" t="str">
        <f t="shared" si="6"/>
        <v>Pri</v>
      </c>
      <c r="E74" t="str">
        <f>'Quorum 3.0'!B82</f>
        <v>Object</v>
      </c>
      <c r="F74" t="str">
        <f>IF('Quorum 3.0'!C82="x", "Pass", "Fail")</f>
        <v>Fail</v>
      </c>
      <c r="G74" t="str">
        <f t="shared" si="7"/>
        <v>TwoType,Pri,Pri,Object,Fail</v>
      </c>
    </row>
    <row r="75" spans="1:7" x14ac:dyDescent="0.2">
      <c r="A75" t="str">
        <f>'Quorum 3.0'!A$66</f>
        <v>TwoTypePriPri</v>
      </c>
      <c r="B75" t="str">
        <f t="shared" si="4"/>
        <v>TwoType</v>
      </c>
      <c r="C75" t="str">
        <f t="shared" si="5"/>
        <v>Pri</v>
      </c>
      <c r="D75" t="str">
        <f t="shared" si="6"/>
        <v>Pri</v>
      </c>
      <c r="E75" t="str">
        <f>'Quorum 3.0'!B83</f>
        <v>text</v>
      </c>
      <c r="F75" t="str">
        <f>IF('Quorum 3.0'!C83="x", "Pass", "Fail")</f>
        <v>Fail</v>
      </c>
      <c r="G75" t="str">
        <f t="shared" si="7"/>
        <v>TwoType,Pri,Pri,text,Fail</v>
      </c>
    </row>
    <row r="76" spans="1:7" x14ac:dyDescent="0.2">
      <c r="A76" t="str">
        <f>'Quorum 3.0'!A$66</f>
        <v>TwoTypePriPri</v>
      </c>
      <c r="B76" t="str">
        <f t="shared" si="4"/>
        <v>TwoType</v>
      </c>
      <c r="C76" t="str">
        <f t="shared" si="5"/>
        <v>Pri</v>
      </c>
      <c r="D76" t="str">
        <f t="shared" si="6"/>
        <v>Pri</v>
      </c>
      <c r="E76" t="str">
        <f>'Quorum 3.0'!B84</f>
        <v>TextObj</v>
      </c>
      <c r="F76" t="str">
        <f>IF('Quorum 3.0'!C84="x", "Pass", "Fail")</f>
        <v>Fail</v>
      </c>
      <c r="G76" t="str">
        <f t="shared" si="7"/>
        <v>TwoType,Pri,Pri,TextObj,Fail</v>
      </c>
    </row>
    <row r="77" spans="1:7" x14ac:dyDescent="0.2">
      <c r="A77" t="str">
        <f>'Quorum 3.0'!A$66</f>
        <v>TwoTypePriPri</v>
      </c>
      <c r="B77" t="str">
        <f t="shared" si="4"/>
        <v>TwoType</v>
      </c>
      <c r="C77" t="str">
        <f t="shared" si="5"/>
        <v>Pri</v>
      </c>
      <c r="D77" t="str">
        <f t="shared" si="6"/>
        <v>Pri</v>
      </c>
      <c r="E77" t="str">
        <f>'Quorum 3.0'!B85</f>
        <v>undefined</v>
      </c>
      <c r="F77" t="str">
        <f>IF('Quorum 3.0'!C85="x", "Pass", "Fail")</f>
        <v>Fail</v>
      </c>
      <c r="G77" t="str">
        <f t="shared" si="7"/>
        <v>TwoType,Pri,Pri,undefined,Fail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Quorum 3.0</vt:lpstr>
      <vt:lpstr>tests.txt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Daleiden</dc:creator>
  <cp:lastModifiedBy>Microsoft Office</cp:lastModifiedBy>
  <dcterms:created xsi:type="dcterms:W3CDTF">2015-01-07T20:05:46Z</dcterms:created>
  <dcterms:modified xsi:type="dcterms:W3CDTF">2015-02-18T05:02:39Z</dcterms:modified>
</cp:coreProperties>
</file>